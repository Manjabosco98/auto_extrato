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c838ee934e3f138/Documentos/AutoExtrato/data/"/>
    </mc:Choice>
  </mc:AlternateContent>
  <xr:revisionPtr revIDLastSave="16" documentId="13_ncr:1_{7F0AD189-A6B7-4415-B820-EB8766C24897}" xr6:coauthVersionLast="47" xr6:coauthVersionMax="47" xr10:uidLastSave="{36AF2245-0E23-487D-AA50-705D1173CB2C}"/>
  <bookViews>
    <workbookView xWindow="22932" yWindow="-108" windowWidth="23256" windowHeight="12456" activeTab="1" xr2:uid="{00000000-000D-0000-FFFF-FFFF00000000}"/>
  </bookViews>
  <sheets>
    <sheet name="Ref" sheetId="4" r:id="rId1"/>
    <sheet name="EmpAtivas" sheetId="2" r:id="rId2"/>
    <sheet name="EmpInativasManual" sheetId="3" r:id="rId3"/>
  </sheets>
  <definedNames>
    <definedName name="DadosExternos_1" localSheetId="1" hidden="1">EmpAtivas!$A$1:$C$184</definedName>
    <definedName name="DadosExternos_2" localSheetId="0" hidden="1">Ref!$A$22:$A$23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3" i="3" l="1"/>
  <c r="B192" i="3"/>
  <c r="B191" i="3"/>
  <c r="D4" i="2"/>
  <c r="D2" i="2"/>
  <c r="D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B190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086FEA-96E2-471C-B637-44CBC5B008C3}" keepAlive="1" name="Consulta - Ativas_EMP_tabela" description="Conexão com a consulta 'Ativas_EMP_tabela' na pasta de trabalho." type="5" refreshedVersion="8" background="1" saveData="1">
    <dbPr connection="Provider=Microsoft.Mashup.OleDb.1;Data Source=$Workbook$;Location=Ativas_EMP_tabela;Extended Properties=&quot;&quot;" command="SELECT * FROM [Ativas_EMP_tabela]"/>
  </connection>
  <connection id="2" xr16:uid="{D0D28C67-2995-4BD0-B238-BA6BE4164A51}" keepAlive="1" name="Consulta - UltAttEmpresas_table" description="Conexão com a consulta 'UltAttEmpresas_table' na pasta de trabalho." type="5" refreshedVersion="8" background="1" saveData="1">
    <dbPr connection="Provider=Microsoft.Mashup.OleDb.1;Data Source=$Workbook$;Location=UltAttEmpresas_table;Extended Properties=&quot;&quot;" command="SELECT * FROM [UltAttEmpresas_table]"/>
  </connection>
</connections>
</file>

<file path=xl/sharedStrings.xml><?xml version="1.0" encoding="utf-8"?>
<sst xmlns="http://schemas.openxmlformats.org/spreadsheetml/2006/main" count="566" uniqueCount="373">
  <si>
    <t>ID</t>
  </si>
  <si>
    <t>Razão social</t>
  </si>
  <si>
    <t>CNPJ</t>
  </si>
  <si>
    <t>MS MODAS</t>
  </si>
  <si>
    <t>33.856.409/0001-63</t>
  </si>
  <si>
    <t>Ativa</t>
  </si>
  <si>
    <t>CIAL</t>
  </si>
  <si>
    <t>09.042.402/0001-23</t>
  </si>
  <si>
    <t>DISLEY</t>
  </si>
  <si>
    <t>23.961.631/0001-72</t>
  </si>
  <si>
    <t>IMPERIO</t>
  </si>
  <si>
    <t>30.068.173/0001-02</t>
  </si>
  <si>
    <t>LUIZ P</t>
  </si>
  <si>
    <t>23.964.452/0001-99</t>
  </si>
  <si>
    <t>MIDIA</t>
  </si>
  <si>
    <t>29.520.698/0001-58</t>
  </si>
  <si>
    <t>AMR</t>
  </si>
  <si>
    <t>24.231.209/0001-24</t>
  </si>
  <si>
    <t>NA ENG</t>
  </si>
  <si>
    <t>24.153.612/0001-82</t>
  </si>
  <si>
    <t>AM ENG</t>
  </si>
  <si>
    <t>49.973.739/0001-79</t>
  </si>
  <si>
    <t>SILVA</t>
  </si>
  <si>
    <t>52.074.420/0001-16</t>
  </si>
  <si>
    <t>CAMARGOS</t>
  </si>
  <si>
    <t>53.322.522/0001-76</t>
  </si>
  <si>
    <t>LRX</t>
  </si>
  <si>
    <t>24.940.887/0001-66</t>
  </si>
  <si>
    <t>HABITAR</t>
  </si>
  <si>
    <t>10.611.871/0001-03</t>
  </si>
  <si>
    <t>AM MODAS</t>
  </si>
  <si>
    <t>33.863.039/0001-91</t>
  </si>
  <si>
    <t>GYN MODAS</t>
  </si>
  <si>
    <t>33.665.950/0001-94</t>
  </si>
  <si>
    <t>CAMELIAS</t>
  </si>
  <si>
    <t>07.982.592/0001-33</t>
  </si>
  <si>
    <t>W ENG</t>
  </si>
  <si>
    <t>10.318.408/0001-60</t>
  </si>
  <si>
    <t>GEO ENG</t>
  </si>
  <si>
    <t>03.956.712/0001-77</t>
  </si>
  <si>
    <t>TRSGO</t>
  </si>
  <si>
    <t>29.869.390/0001-12</t>
  </si>
  <si>
    <t>ORS</t>
  </si>
  <si>
    <t>27.250.359/0001-73</t>
  </si>
  <si>
    <t>AMS</t>
  </si>
  <si>
    <t>46.843.861/0001-32</t>
  </si>
  <si>
    <t>TECNOMAQ</t>
  </si>
  <si>
    <t>39.443.373/0001-72</t>
  </si>
  <si>
    <t>MARCO</t>
  </si>
  <si>
    <t>19.743.725/0001-06</t>
  </si>
  <si>
    <t>GRS</t>
  </si>
  <si>
    <t>53.383.160/0001-23</t>
  </si>
  <si>
    <t>DM</t>
  </si>
  <si>
    <t>53.980.837/0001-00</t>
  </si>
  <si>
    <t>PANGEA</t>
  </si>
  <si>
    <t>53.934.989/0001-77</t>
  </si>
  <si>
    <t>SEVEN</t>
  </si>
  <si>
    <t>53.572.299/0001-15</t>
  </si>
  <si>
    <t>GCAM</t>
  </si>
  <si>
    <t>30.495.064/0001-71</t>
  </si>
  <si>
    <t>CEMAF 60</t>
  </si>
  <si>
    <t>10.770.074/0001-60</t>
  </si>
  <si>
    <t>AD 52</t>
  </si>
  <si>
    <t>31.649.496/0001-52</t>
  </si>
  <si>
    <t>ALX</t>
  </si>
  <si>
    <t>31.623.984/0001-90</t>
  </si>
  <si>
    <t>ALOHA</t>
  </si>
  <si>
    <t>32.752.496/0001-46</t>
  </si>
  <si>
    <t>IDEAL</t>
  </si>
  <si>
    <t>43.890.161/0001-00</t>
  </si>
  <si>
    <t>CH</t>
  </si>
  <si>
    <t>53.668.227/0001-76</t>
  </si>
  <si>
    <t>MX</t>
  </si>
  <si>
    <t>53.753.863/0001-04</t>
  </si>
  <si>
    <t>ECS</t>
  </si>
  <si>
    <t>44.122.021/0001-55</t>
  </si>
  <si>
    <t>MAUI</t>
  </si>
  <si>
    <t>34.453.040/0001-00</t>
  </si>
  <si>
    <t>TRM ENG</t>
  </si>
  <si>
    <t>54.341.776/0001-02</t>
  </si>
  <si>
    <t>KMC</t>
  </si>
  <si>
    <t>45.584.254/0001-32</t>
  </si>
  <si>
    <t>ARABIS</t>
  </si>
  <si>
    <t>54.945.824/0001-63</t>
  </si>
  <si>
    <t>JP ENG</t>
  </si>
  <si>
    <t>36.612.443/0001-80</t>
  </si>
  <si>
    <t>GUISOFT</t>
  </si>
  <si>
    <t>37.943.656/0001-58</t>
  </si>
  <si>
    <t>MV</t>
  </si>
  <si>
    <t>40.030.564/0001-91</t>
  </si>
  <si>
    <t>CNC</t>
  </si>
  <si>
    <t>40.464.754/0001-17</t>
  </si>
  <si>
    <t>HEDY</t>
  </si>
  <si>
    <t>41.041.719/0001-58</t>
  </si>
  <si>
    <t>BM ENG</t>
  </si>
  <si>
    <t>43.802.267/0001-05</t>
  </si>
  <si>
    <t>ATR</t>
  </si>
  <si>
    <t>42.726.435/0001-68</t>
  </si>
  <si>
    <t>DAFF</t>
  </si>
  <si>
    <t>44.742.543/0001-50</t>
  </si>
  <si>
    <t>IMI</t>
  </si>
  <si>
    <t>45.959.750/0001-23</t>
  </si>
  <si>
    <t>SIMPLA</t>
  </si>
  <si>
    <t>53.572.972/0001-17</t>
  </si>
  <si>
    <t>STAB</t>
  </si>
  <si>
    <t>32.539.832/0001-77</t>
  </si>
  <si>
    <t>ACR</t>
  </si>
  <si>
    <t>55.909.831/0001-72</t>
  </si>
  <si>
    <t>ADP PART</t>
  </si>
  <si>
    <t>55.805.511/0001-72</t>
  </si>
  <si>
    <t>CE PART</t>
  </si>
  <si>
    <t>55.764.915/0001-65</t>
  </si>
  <si>
    <t>ATTIVAR S</t>
  </si>
  <si>
    <t>11.861.385/0001-06</t>
  </si>
  <si>
    <t>ATTIVAR U</t>
  </si>
  <si>
    <t>46.621.905/0001-80</t>
  </si>
  <si>
    <t>LF</t>
  </si>
  <si>
    <t>56.201.887/0001-30</t>
  </si>
  <si>
    <t>ETRAINER</t>
  </si>
  <si>
    <t>56.823.732/0001-36</t>
  </si>
  <si>
    <t>MASSARI</t>
  </si>
  <si>
    <t>45.670.845/0001-22</t>
  </si>
  <si>
    <t>CASCMONT</t>
  </si>
  <si>
    <t>57.589.458/0001-45</t>
  </si>
  <si>
    <t>ENERTEK</t>
  </si>
  <si>
    <t>58.218.944/0001-10</t>
  </si>
  <si>
    <t>ML ENG</t>
  </si>
  <si>
    <t>50.922.193/0001-06</t>
  </si>
  <si>
    <t>RESUMIMOS</t>
  </si>
  <si>
    <t>46.674.861/0001-56</t>
  </si>
  <si>
    <t>BUEGUIM</t>
  </si>
  <si>
    <t>44.849.566/0001-68</t>
  </si>
  <si>
    <t>BERNARDES ADV</t>
  </si>
  <si>
    <t>59.010.360/0001-17</t>
  </si>
  <si>
    <t>BRESEGHELLO</t>
  </si>
  <si>
    <t>58.888.102/0001-75</t>
  </si>
  <si>
    <t>MOLINARI</t>
  </si>
  <si>
    <t>58.759.269/0001-36</t>
  </si>
  <si>
    <t>CARVALHO</t>
  </si>
  <si>
    <t>22.823.692/0001-00</t>
  </si>
  <si>
    <t>FERREIRA</t>
  </si>
  <si>
    <t>59.056.904/0001-81</t>
  </si>
  <si>
    <t>GUIMARAES</t>
  </si>
  <si>
    <t>59.063.235/0001-75</t>
  </si>
  <si>
    <t>GADHR</t>
  </si>
  <si>
    <t>59.281.155/0001-96</t>
  </si>
  <si>
    <t>ACM</t>
  </si>
  <si>
    <t>59.263.689/0001-90</t>
  </si>
  <si>
    <t>PL</t>
  </si>
  <si>
    <t>59.290.118/0001-44</t>
  </si>
  <si>
    <t>WBIO</t>
  </si>
  <si>
    <t>59.302.753/0001-02</t>
  </si>
  <si>
    <t>SABE</t>
  </si>
  <si>
    <t>59.583.135/0001-70</t>
  </si>
  <si>
    <t>FERNANDO</t>
  </si>
  <si>
    <t>37.289.402/0001-68</t>
  </si>
  <si>
    <t>RJ ENG</t>
  </si>
  <si>
    <t>49.823.333/0001-00</t>
  </si>
  <si>
    <t>BERNARDES</t>
  </si>
  <si>
    <t>49.835.638/0001-31</t>
  </si>
  <si>
    <t>BLACK BERNARDES</t>
  </si>
  <si>
    <t>50.308.053/0001-42</t>
  </si>
  <si>
    <t>IGNITE</t>
  </si>
  <si>
    <t>50.342.218/0001-00</t>
  </si>
  <si>
    <t>CEMAF OPE</t>
  </si>
  <si>
    <t>50.337.579/0001-50</t>
  </si>
  <si>
    <t>CEMAF PART</t>
  </si>
  <si>
    <t>50.341.323/0001-17</t>
  </si>
  <si>
    <t>AMPARO</t>
  </si>
  <si>
    <t>50.563.017/0001-25</t>
  </si>
  <si>
    <t>TAVEIRA</t>
  </si>
  <si>
    <t>50.653.332/0001-43</t>
  </si>
  <si>
    <t>GSERV</t>
  </si>
  <si>
    <t>50.850.849/0001-22</t>
  </si>
  <si>
    <t>RMP</t>
  </si>
  <si>
    <t>59.717.528/0001-29</t>
  </si>
  <si>
    <t>ZORZIN</t>
  </si>
  <si>
    <t>34.403.941/0001-98</t>
  </si>
  <si>
    <t>LSR</t>
  </si>
  <si>
    <t>53.542.581/0001-50</t>
  </si>
  <si>
    <t>SUASSUNA</t>
  </si>
  <si>
    <t>60.888.308/0001-47</t>
  </si>
  <si>
    <t>TSA</t>
  </si>
  <si>
    <t>50.992.164/0001-10</t>
  </si>
  <si>
    <t>ARTE</t>
  </si>
  <si>
    <t>51.329.694/0001-46</t>
  </si>
  <si>
    <t>PRIME</t>
  </si>
  <si>
    <t>51.216.848/0001-93</t>
  </si>
  <si>
    <t>JD</t>
  </si>
  <si>
    <t>40.829.106/0001-17</t>
  </si>
  <si>
    <t>PORTO</t>
  </si>
  <si>
    <t>52.042.787/0001-58</t>
  </si>
  <si>
    <t>WF ENG</t>
  </si>
  <si>
    <t>52.203.033/0001-32</t>
  </si>
  <si>
    <t>DHAKA</t>
  </si>
  <si>
    <t>52.317.425/0001-22</t>
  </si>
  <si>
    <t>ALE</t>
  </si>
  <si>
    <t>39.376.954/0001-39</t>
  </si>
  <si>
    <t>AG</t>
  </si>
  <si>
    <t>52.302.455/0001-65</t>
  </si>
  <si>
    <t>WFORTE</t>
  </si>
  <si>
    <t>52.358.511/0001-83</t>
  </si>
  <si>
    <t>CASTANHEIRA</t>
  </si>
  <si>
    <t>60.278.051/0001-01</t>
  </si>
  <si>
    <t>BORBA</t>
  </si>
  <si>
    <t>61.000.940/0001-75</t>
  </si>
  <si>
    <t>KRM</t>
  </si>
  <si>
    <t>61.346.386/0001-82</t>
  </si>
  <si>
    <t>RK</t>
  </si>
  <si>
    <t>50.675.384/0001-10</t>
  </si>
  <si>
    <t>OSCMM</t>
  </si>
  <si>
    <t>62.339.888/0001-49</t>
  </si>
  <si>
    <t>BRITO</t>
  </si>
  <si>
    <t>62.028.917/0001-51</t>
  </si>
  <si>
    <t>TIBRE</t>
  </si>
  <si>
    <t>62.321.085/0001-67</t>
  </si>
  <si>
    <t>MASTERGEST</t>
  </si>
  <si>
    <t>47.715.058/0001-85</t>
  </si>
  <si>
    <t>PRAXIS</t>
  </si>
  <si>
    <t>62.540.060/0001-54</t>
  </si>
  <si>
    <t>TXC ITURAMA</t>
  </si>
  <si>
    <t>42.806.551/0001-97</t>
  </si>
  <si>
    <t>ARAGUAINA</t>
  </si>
  <si>
    <t>35.885.496/0001-02</t>
  </si>
  <si>
    <t>TXC BAURU</t>
  </si>
  <si>
    <t>45.892.784/0001-48</t>
  </si>
  <si>
    <t>BALSAS</t>
  </si>
  <si>
    <t>46.781.599/0001-49</t>
  </si>
  <si>
    <t>TXC SORRISO</t>
  </si>
  <si>
    <t>47.525.994/0001-23</t>
  </si>
  <si>
    <t>TXC ALTAMIRA</t>
  </si>
  <si>
    <t>48.575.783/0001-68</t>
  </si>
  <si>
    <t>TXC LUCAS</t>
  </si>
  <si>
    <t>52.267.981/0001-31</t>
  </si>
  <si>
    <t>TXC MARABA</t>
  </si>
  <si>
    <t>60.139.705/0001-16</t>
  </si>
  <si>
    <t>PELEGRINES</t>
  </si>
  <si>
    <t>52.684.097/0001-00</t>
  </si>
  <si>
    <t>IFA</t>
  </si>
  <si>
    <t>50.733.491/0001-58</t>
  </si>
  <si>
    <t>TEMPLARS</t>
  </si>
  <si>
    <t>52.432.985/0001-28</t>
  </si>
  <si>
    <t>HMB</t>
  </si>
  <si>
    <t>47.028.614/0001-45</t>
  </si>
  <si>
    <t>VITORINOS</t>
  </si>
  <si>
    <t>60.865.980/0001-17</t>
  </si>
  <si>
    <t>BENEVIDES</t>
  </si>
  <si>
    <t>60.865.308/0001-21</t>
  </si>
  <si>
    <t>RPS</t>
  </si>
  <si>
    <t>61.339.181/0001-70</t>
  </si>
  <si>
    <t>IRON</t>
  </si>
  <si>
    <t>61.598.143/0001-31</t>
  </si>
  <si>
    <t>PURE</t>
  </si>
  <si>
    <t>62.206.728/0001-21</t>
  </si>
  <si>
    <t>GR</t>
  </si>
  <si>
    <t>63.839.001/0001-44</t>
  </si>
  <si>
    <t>VIVAZ</t>
  </si>
  <si>
    <t>44.431.896/0001-39</t>
  </si>
  <si>
    <t>VERTEX</t>
  </si>
  <si>
    <t>31.770.596/0001-32</t>
  </si>
  <si>
    <t>VITA</t>
  </si>
  <si>
    <t>38.179.662/0001-43</t>
  </si>
  <si>
    <t>EDV</t>
  </si>
  <si>
    <t>63.925.534/0001-49</t>
  </si>
  <si>
    <t>GRB</t>
  </si>
  <si>
    <t>63.925.638/0001-53</t>
  </si>
  <si>
    <t>RC</t>
  </si>
  <si>
    <t>30.666.736/0001-64</t>
  </si>
  <si>
    <t>ABOA</t>
  </si>
  <si>
    <t>64.119.474/0001-30</t>
  </si>
  <si>
    <t>REAL</t>
  </si>
  <si>
    <t>64.133.538/0001-57</t>
  </si>
  <si>
    <t>48.328.290/0001-23</t>
  </si>
  <si>
    <t>ABDALLA</t>
  </si>
  <si>
    <t>40.187.073/0001-59</t>
  </si>
  <si>
    <t>20.059.235/0001-66</t>
  </si>
  <si>
    <t>SABINO</t>
  </si>
  <si>
    <t>64.495.747/0001-40</t>
  </si>
  <si>
    <t>ALKMIM</t>
  </si>
  <si>
    <t>58.327.971/0001-20</t>
  </si>
  <si>
    <t>PRAESTO</t>
  </si>
  <si>
    <t>64.764.751/0001-67</t>
  </si>
  <si>
    <t>RUBENS CPF-CEI</t>
  </si>
  <si>
    <t>124.041.791/001-97</t>
  </si>
  <si>
    <t>RGWR</t>
  </si>
  <si>
    <t>26.708.794/0001-36</t>
  </si>
  <si>
    <t>WR PART</t>
  </si>
  <si>
    <t>51.849.171/0001-20</t>
  </si>
  <si>
    <t>RGWR - FL 01</t>
  </si>
  <si>
    <t>26.708.794/0002-17</t>
  </si>
  <si>
    <t>RGWR - FL 02</t>
  </si>
  <si>
    <t>26.708.794/0003-06</t>
  </si>
  <si>
    <t>RRG</t>
  </si>
  <si>
    <t>54.385.699/0001-84</t>
  </si>
  <si>
    <t>SARF</t>
  </si>
  <si>
    <t>54.551.105/0001-68</t>
  </si>
  <si>
    <t>LIVRARIA WRJ</t>
  </si>
  <si>
    <t>57.143.835/0001-18</t>
  </si>
  <si>
    <t>COLEGIO WR</t>
  </si>
  <si>
    <t>36.834.331/0001-74</t>
  </si>
  <si>
    <t>ENFOCA</t>
  </si>
  <si>
    <t>32.071.147/0001-69</t>
  </si>
  <si>
    <t>LIVRARIA WR</t>
  </si>
  <si>
    <t>30.750.124/0001-55</t>
  </si>
  <si>
    <t>MACHI</t>
  </si>
  <si>
    <t>24.820.218/0001-50</t>
  </si>
  <si>
    <t>SAG</t>
  </si>
  <si>
    <t>44.838.394/0001-27</t>
  </si>
  <si>
    <t>WRJ</t>
  </si>
  <si>
    <t>18.249.261/0001-05</t>
  </si>
  <si>
    <t>CASA</t>
  </si>
  <si>
    <t>29.773.001/0001-50</t>
  </si>
  <si>
    <t>ALDA</t>
  </si>
  <si>
    <t>30.118.771/0001-49</t>
  </si>
  <si>
    <t>EBLUX</t>
  </si>
  <si>
    <t>08.156.107/0001-35</t>
  </si>
  <si>
    <t>ALCS</t>
  </si>
  <si>
    <t>25.902.066/0001-06</t>
  </si>
  <si>
    <t>RENOVA</t>
  </si>
  <si>
    <t>31.528.233/0001-95</t>
  </si>
  <si>
    <t>CASA CARLOS</t>
  </si>
  <si>
    <t>370.382.811-00</t>
  </si>
  <si>
    <t>WJ</t>
  </si>
  <si>
    <t>11.554.181/0001-14</t>
  </si>
  <si>
    <t>SGECONT</t>
  </si>
  <si>
    <t>39.510.174/0001-30</t>
  </si>
  <si>
    <t>AH</t>
  </si>
  <si>
    <t>41.367.254/0001-20</t>
  </si>
  <si>
    <t>SGE</t>
  </si>
  <si>
    <t>41.044.641/0001-25</t>
  </si>
  <si>
    <t>HSERVICE</t>
  </si>
  <si>
    <t>40.565.658/0001-65</t>
  </si>
  <si>
    <t>MEI FÁTIMA</t>
  </si>
  <si>
    <t>60.778.612/0001-31</t>
  </si>
  <si>
    <t>Status</t>
  </si>
  <si>
    <t>Inativa</t>
  </si>
  <si>
    <t>Date modified</t>
  </si>
  <si>
    <t>ATLAS</t>
  </si>
  <si>
    <t>CANTINA</t>
  </si>
  <si>
    <t>CERQUEIRA</t>
  </si>
  <si>
    <t>65.244.045/0001-57</t>
  </si>
  <si>
    <t>FORTIFY</t>
  </si>
  <si>
    <t>33.690.310/0001-34</t>
  </si>
  <si>
    <t>LEGACY</t>
  </si>
  <si>
    <t>65.950.956/0001-08</t>
  </si>
  <si>
    <t>LEGADO21</t>
  </si>
  <si>
    <t>35.941.790/0001-94</t>
  </si>
  <si>
    <t>MMKT</t>
  </si>
  <si>
    <t>65.679.694/0001-80</t>
  </si>
  <si>
    <t>PATO</t>
  </si>
  <si>
    <t>65.723.005/0001-98</t>
  </si>
  <si>
    <t>SOUZA</t>
  </si>
  <si>
    <t>66.099.537/0001-69</t>
  </si>
  <si>
    <t>TERA</t>
  </si>
  <si>
    <t>57.232.823/0001-60</t>
  </si>
  <si>
    <t>UP380</t>
  </si>
  <si>
    <t>65.930.334/0001-00</t>
  </si>
  <si>
    <t>IMG</t>
  </si>
  <si>
    <t>66.326.348/0001-81</t>
  </si>
  <si>
    <t>METRIKAL</t>
  </si>
  <si>
    <t>66.386.177/0001-86</t>
  </si>
  <si>
    <t>GM</t>
  </si>
  <si>
    <t>66.618.038/0001-30</t>
  </si>
  <si>
    <t>RHIZA</t>
  </si>
  <si>
    <t>66.639.381/0001-61</t>
  </si>
  <si>
    <t>CCDE</t>
  </si>
  <si>
    <t>55.554.131/0001-02</t>
  </si>
  <si>
    <t>ACAO</t>
  </si>
  <si>
    <t>35.824.574/0001-69</t>
  </si>
  <si>
    <t>PIRES</t>
  </si>
  <si>
    <t>67.169.135/0001-56</t>
  </si>
  <si>
    <t>KUSTER</t>
  </si>
  <si>
    <t>61.843.236/0001-84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</si>
</sst>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/>
  </cellXfs>
  <cellStyles count="1">
    <cellStyle name="Normal" xfId="0" builtinId="0"/>
  </cellStyles>
  <dxfs count="1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64" formatCode="m/d/yyyy\ h:mm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29F9C7FB-48BB-4795-9AB9-BFBE352C4E0F}" autoFormatId="16" applyNumberFormats="0" applyBorderFormats="0" applyFontFormats="0" applyPatternFormats="0" applyAlignmentFormats="0" applyWidthHeightFormats="0">
  <queryTableRefresh nextId="2">
    <queryTableFields count="1">
      <queryTableField id="1" name="Date modified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adjustColumnWidth="0" connectionId="1" xr16:uid="{1BAFFF4C-BF68-45A7-9FDB-51C5B0AEE01C}" autoFormatId="16" applyNumberFormats="0" applyBorderFormats="0" applyFontFormats="0" applyPatternFormats="0" applyAlignmentFormats="0" applyWidthHeightFormats="0">
  <queryTableRefresh nextId="6" unboundColumnsRight="1">
    <queryTableFields count="4">
      <queryTableField id="1" name="ID" tableColumnId="1"/>
      <queryTableField id="2" name="Razão social" tableColumnId="2"/>
      <queryTableField id="3" name="CNPJ" tableColumnId="3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EB500A-FCC2-4420-B591-EA9BFBDCEC60}" name="UltAttEmpresas_table" displayName="UltAttEmpresas_table" ref="A22:A23" tableType="queryTable" totalsRowShown="0">
  <autoFilter ref="A22:A23" xr:uid="{9BEB500A-FCC2-4420-B591-EA9BFBDCEC60}"/>
  <tableColumns count="1">
    <tableColumn id="1" xr3:uid="{8BDA8B93-F0A9-4223-8C46-6DB934E9D098}" uniqueName="1" name="Date modified" queryTableFieldId="1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55BD22-FA3B-40EE-8C64-7772888AAD0B}" name="Ativas_EMP_tabela" displayName="Ativas_EMP_tabela" ref="A1:D184" tableType="queryTable" totalsRowShown="0" headerRowDxfId="12" dataDxfId="11">
  <autoFilter ref="A1:D184" xr:uid="{4955BD22-FA3B-40EE-8C64-7772888AAD0B}"/>
  <tableColumns count="4">
    <tableColumn id="1" xr3:uid="{14EBB8F6-ADDF-42EC-91C7-3608000F4BA1}" uniqueName="1" name="ID" queryTableFieldId="1" dataDxfId="10"/>
    <tableColumn id="2" xr3:uid="{835A5DD2-E05C-4D59-96BC-630F93FD950B}" uniqueName="2" name="Razão social" queryTableFieldId="2" dataDxfId="9"/>
    <tableColumn id="3" xr3:uid="{A10298D0-EA6F-4145-900D-36AD41509EA0}" uniqueName="3" name="CNPJ" queryTableFieldId="3" dataDxfId="8"/>
    <tableColumn id="5" xr3:uid="{A4373047-E4F7-4739-BD6B-341FFD2B1800}" uniqueName="5" name="Status" queryTableFieldId="5" dataDxfId="7">
      <calculatedColumnFormula>_xlfn.XLOOKUP(Ativas_EMP_tabela[[#This Row],[ID]],Ativas_EMP_Manual_tabela[ID],Ativas_EMP_Manual_tabela[Status],"")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104D9C-0E09-4190-9348-F60B96BB9EF6}" name="Ativas_EMP_Manual_tabela" displayName="Ativas_EMP_Manual_tabela" ref="A1:C193" totalsRowShown="0" headerRowDxfId="5" dataDxfId="3" headerRowBorderDxfId="4">
  <autoFilter ref="A1:C193" xr:uid="{FB104D9C-0E09-4190-9348-F60B96BB9EF6}"/>
  <tableColumns count="3">
    <tableColumn id="1" xr3:uid="{9B427E57-CC10-451A-A30B-77D972781374}" name="ID" dataDxfId="2"/>
    <tableColumn id="2" xr3:uid="{4445C5CA-7654-4A38-AF14-EFAD838066A9}" name="Razão social" dataDxfId="1">
      <calculatedColumnFormula>_xlfn.XLOOKUP(Ativas_EMP_Manual_tabela[[#This Row],[ID]],Ativas_EMP_tabela[ID],Ativas_EMP_tabela[Razão social],"")</calculatedColumnFormula>
    </tableColumn>
    <tableColumn id="3" xr3:uid="{5D1AAE12-D032-4A92-BAED-671BAA612AE2}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7FE6E-AA82-436C-AA42-1639B36448E0}">
  <dimension ref="A22:A23"/>
  <sheetViews>
    <sheetView workbookViewId="0">
      <selection activeCell="A23" sqref="A23"/>
    </sheetView>
  </sheetViews>
  <sheetFormatPr defaultRowHeight="15" x14ac:dyDescent="0.25"/>
  <cols>
    <col min="1" max="1" width="15.7109375" bestFit="1" customWidth="1"/>
  </cols>
  <sheetData>
    <row r="22" spans="1:1" x14ac:dyDescent="0.25">
      <c r="A22" t="s">
        <v>336</v>
      </c>
    </row>
    <row r="23" spans="1:1" x14ac:dyDescent="0.25">
      <c r="A23" s="3">
        <v>46185.439503402777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C24A6-F86A-4BE4-8035-83F4FE722AA9}">
  <sheetPr codeName="Planilha1"/>
  <dimension ref="A1:E184"/>
  <sheetViews>
    <sheetView showGridLines="0" tabSelected="1" workbookViewId="0">
      <selection activeCell="A4" sqref="A4:A125"/>
    </sheetView>
  </sheetViews>
  <sheetFormatPr defaultRowHeight="15" x14ac:dyDescent="0.25"/>
  <cols>
    <col min="1" max="1" width="6" style="2" bestFit="1" customWidth="1"/>
    <col min="2" max="2" width="28" style="2" customWidth="1"/>
    <col min="3" max="3" width="32.140625" style="2" customWidth="1"/>
    <col min="4" max="4" width="24.5703125" style="2" customWidth="1"/>
    <col min="5" max="5" width="21.7109375" style="2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334</v>
      </c>
      <c r="E1"/>
    </row>
    <row r="2" spans="1:5" x14ac:dyDescent="0.25">
      <c r="A2" s="2">
        <v>437</v>
      </c>
      <c r="B2" s="2" t="s">
        <v>273</v>
      </c>
      <c r="C2" s="2" t="s">
        <v>274</v>
      </c>
      <c r="D2" s="2" t="str">
        <f>_xlfn.XLOOKUP(Ativas_EMP_tabela[[#This Row],[ID]],Ativas_EMP_Manual_tabela[ID],Ativas_EMP_Manual_tabela[Status],"")</f>
        <v>Ativa</v>
      </c>
      <c r="E2"/>
    </row>
    <row r="3" spans="1:5" x14ac:dyDescent="0.25">
      <c r="A3" s="2">
        <v>434</v>
      </c>
      <c r="B3" s="2" t="s">
        <v>268</v>
      </c>
      <c r="C3" s="2" t="s">
        <v>269</v>
      </c>
      <c r="D3" s="2" t="str">
        <f>_xlfn.XLOOKUP(Ativas_EMP_tabela[[#This Row],[ID]],Ativas_EMP_Manual_tabela[ID],Ativas_EMP_Manual_tabela[Status],"")</f>
        <v>Ativa</v>
      </c>
      <c r="E3"/>
    </row>
    <row r="4" spans="1:5" x14ac:dyDescent="0.25">
      <c r="A4" s="2">
        <v>428</v>
      </c>
      <c r="B4" s="2" t="s">
        <v>367</v>
      </c>
      <c r="C4" s="2" t="s">
        <v>368</v>
      </c>
      <c r="D4" s="2" t="str">
        <f>_xlfn.XLOOKUP(Ativas_EMP_tabela[[#This Row],[ID]],Ativas_EMP_Manual_tabela[ID],Ativas_EMP_Manual_tabela[Status],"")</f>
        <v>Ativa</v>
      </c>
      <c r="E4"/>
    </row>
    <row r="5" spans="1:5" x14ac:dyDescent="0.25">
      <c r="A5" s="2">
        <v>146</v>
      </c>
      <c r="B5" s="2" t="s">
        <v>146</v>
      </c>
      <c r="C5" s="2" t="s">
        <v>147</v>
      </c>
      <c r="D5" s="2" t="str">
        <f>_xlfn.XLOOKUP(Ativas_EMP_tabela[[#This Row],[ID]],Ativas_EMP_Manual_tabela[ID],Ativas_EMP_Manual_tabela[Status],"")</f>
        <v>Ativa</v>
      </c>
      <c r="E5"/>
    </row>
    <row r="6" spans="1:5" x14ac:dyDescent="0.25">
      <c r="A6" s="2">
        <v>123</v>
      </c>
      <c r="B6" s="2" t="s">
        <v>106</v>
      </c>
      <c r="C6" s="2" t="s">
        <v>107</v>
      </c>
      <c r="D6" s="2" t="str">
        <f>_xlfn.XLOOKUP(Ativas_EMP_tabela[[#This Row],[ID]],Ativas_EMP_Manual_tabela[ID],Ativas_EMP_Manual_tabela[Status],"")</f>
        <v>Ativa</v>
      </c>
      <c r="E6"/>
    </row>
    <row r="7" spans="1:5" x14ac:dyDescent="0.25">
      <c r="A7" s="2">
        <v>50</v>
      </c>
      <c r="B7" s="2" t="s">
        <v>62</v>
      </c>
      <c r="C7" s="2" t="s">
        <v>63</v>
      </c>
      <c r="D7" s="2" t="str">
        <f>_xlfn.XLOOKUP(Ativas_EMP_tabela[[#This Row],[ID]],Ativas_EMP_Manual_tabela[ID],Ativas_EMP_Manual_tabela[Status],"")</f>
        <v>Ativa</v>
      </c>
      <c r="E7"/>
    </row>
    <row r="8" spans="1:5" x14ac:dyDescent="0.25">
      <c r="A8" s="2">
        <v>124</v>
      </c>
      <c r="B8" s="2" t="s">
        <v>108</v>
      </c>
      <c r="C8" s="2" t="s">
        <v>109</v>
      </c>
      <c r="D8" s="2" t="str">
        <f>_xlfn.XLOOKUP(Ativas_EMP_tabela[[#This Row],[ID]],Ativas_EMP_Manual_tabela[ID],Ativas_EMP_Manual_tabela[Status],"")</f>
        <v>Ativa</v>
      </c>
      <c r="E8"/>
    </row>
    <row r="9" spans="1:5" x14ac:dyDescent="0.25">
      <c r="A9" s="2">
        <v>189</v>
      </c>
      <c r="B9" s="2" t="s">
        <v>198</v>
      </c>
      <c r="C9" s="2" t="s">
        <v>199</v>
      </c>
      <c r="D9" s="2" t="str">
        <f>_xlfn.XLOOKUP(Ativas_EMP_tabela[[#This Row],[ID]],Ativas_EMP_Manual_tabela[ID],Ativas_EMP_Manual_tabela[Status],"")</f>
        <v>Ativa</v>
      </c>
      <c r="E9"/>
    </row>
    <row r="10" spans="1:5" x14ac:dyDescent="0.25">
      <c r="A10" s="2">
        <v>997</v>
      </c>
      <c r="B10" s="2" t="s">
        <v>326</v>
      </c>
      <c r="C10" s="2" t="s">
        <v>327</v>
      </c>
      <c r="D10" s="2" t="str">
        <f>_xlfn.XLOOKUP(Ativas_EMP_tabela[[#This Row],[ID]],Ativas_EMP_Manual_tabela[ID],Ativas_EMP_Manual_tabela[Status],"")</f>
        <v>Ativa</v>
      </c>
      <c r="E10"/>
    </row>
    <row r="11" spans="1:5" x14ac:dyDescent="0.25">
      <c r="A11" s="2">
        <v>502</v>
      </c>
      <c r="B11" s="2" t="s">
        <v>316</v>
      </c>
      <c r="C11" s="2" t="s">
        <v>317</v>
      </c>
      <c r="D11" s="2" t="str">
        <f>_xlfn.XLOOKUP(Ativas_EMP_tabela[[#This Row],[ID]],Ativas_EMP_Manual_tabela[ID],Ativas_EMP_Manual_tabela[Status],"")</f>
        <v>Ativa</v>
      </c>
      <c r="E11"/>
    </row>
    <row r="12" spans="1:5" x14ac:dyDescent="0.25">
      <c r="A12" s="2">
        <v>500</v>
      </c>
      <c r="B12" s="2" t="s">
        <v>312</v>
      </c>
      <c r="C12" s="2" t="s">
        <v>313</v>
      </c>
      <c r="D12" s="2" t="str">
        <f>_xlfn.XLOOKUP(Ativas_EMP_tabela[[#This Row],[ID]],Ativas_EMP_Manual_tabela[ID],Ativas_EMP_Manual_tabela[Status],"")</f>
        <v>Ativa</v>
      </c>
      <c r="E12"/>
    </row>
    <row r="13" spans="1:5" x14ac:dyDescent="0.25">
      <c r="A13" s="2">
        <v>188</v>
      </c>
      <c r="B13" s="2" t="s">
        <v>196</v>
      </c>
      <c r="C13" s="2" t="s">
        <v>197</v>
      </c>
      <c r="D13" s="2" t="str">
        <f>_xlfn.XLOOKUP(Ativas_EMP_tabela[[#This Row],[ID]],Ativas_EMP_Manual_tabela[ID],Ativas_EMP_Manual_tabela[Status],"")</f>
        <v>Ativa</v>
      </c>
      <c r="E13"/>
    </row>
    <row r="14" spans="1:5" x14ac:dyDescent="0.25">
      <c r="A14" s="2">
        <v>440</v>
      </c>
      <c r="B14" s="2" t="s">
        <v>278</v>
      </c>
      <c r="C14" s="2" t="s">
        <v>279</v>
      </c>
      <c r="D14" s="2" t="str">
        <f>_xlfn.XLOOKUP(Ativas_EMP_tabela[[#This Row],[ID]],Ativas_EMP_Manual_tabela[ID],Ativas_EMP_Manual_tabela[Status],"")</f>
        <v>Ativa</v>
      </c>
      <c r="E14"/>
    </row>
    <row r="15" spans="1:5" x14ac:dyDescent="0.25">
      <c r="A15" s="2">
        <v>57</v>
      </c>
      <c r="B15" s="2" t="s">
        <v>66</v>
      </c>
      <c r="C15" s="2" t="s">
        <v>67</v>
      </c>
      <c r="D15" s="2" t="str">
        <f>_xlfn.XLOOKUP(Ativas_EMP_tabela[[#This Row],[ID]],Ativas_EMP_Manual_tabela[ID],Ativas_EMP_Manual_tabela[Status],"")</f>
        <v>Ativa</v>
      </c>
      <c r="E15"/>
    </row>
    <row r="16" spans="1:5" x14ac:dyDescent="0.25">
      <c r="A16" s="2">
        <v>51</v>
      </c>
      <c r="B16" s="2" t="s">
        <v>64</v>
      </c>
      <c r="C16" s="2" t="s">
        <v>65</v>
      </c>
      <c r="D16" s="2" t="str">
        <f>_xlfn.XLOOKUP(Ativas_EMP_tabela[[#This Row],[ID]],Ativas_EMP_Manual_tabela[ID],Ativas_EMP_Manual_tabela[Status],"")</f>
        <v>Ativa</v>
      </c>
      <c r="E16"/>
    </row>
    <row r="17" spans="1:5" x14ac:dyDescent="0.25">
      <c r="A17" s="2">
        <v>19</v>
      </c>
      <c r="B17" s="2" t="s">
        <v>20</v>
      </c>
      <c r="C17" s="2" t="s">
        <v>21</v>
      </c>
      <c r="D17" s="2" t="str">
        <f>_xlfn.XLOOKUP(Ativas_EMP_tabela[[#This Row],[ID]],Ativas_EMP_Manual_tabela[ID],Ativas_EMP_Manual_tabela[Status],"")</f>
        <v>Ativa</v>
      </c>
      <c r="E17"/>
    </row>
    <row r="18" spans="1:5" x14ac:dyDescent="0.25">
      <c r="A18" s="2">
        <v>26</v>
      </c>
      <c r="B18" s="2" t="s">
        <v>30</v>
      </c>
      <c r="C18" s="2" t="s">
        <v>31</v>
      </c>
      <c r="D18" s="2" t="str">
        <f>_xlfn.XLOOKUP(Ativas_EMP_tabela[[#This Row],[ID]],Ativas_EMP_Manual_tabela[ID],Ativas_EMP_Manual_tabela[Status],"")</f>
        <v>Ativa</v>
      </c>
      <c r="E18"/>
    </row>
    <row r="19" spans="1:5" x14ac:dyDescent="0.25">
      <c r="A19" s="2">
        <v>160</v>
      </c>
      <c r="B19" s="2" t="s">
        <v>168</v>
      </c>
      <c r="C19" s="2" t="s">
        <v>169</v>
      </c>
      <c r="D19" s="2" t="str">
        <f>_xlfn.XLOOKUP(Ativas_EMP_tabela[[#This Row],[ID]],Ativas_EMP_Manual_tabela[ID],Ativas_EMP_Manual_tabela[Status],"")</f>
        <v>Ativa</v>
      </c>
      <c r="E19"/>
    </row>
    <row r="20" spans="1:5" x14ac:dyDescent="0.25">
      <c r="A20" s="2">
        <v>12</v>
      </c>
      <c r="B20" s="2" t="s">
        <v>16</v>
      </c>
      <c r="C20" s="2" t="s">
        <v>17</v>
      </c>
      <c r="D20" s="2" t="str">
        <f>_xlfn.XLOOKUP(Ativas_EMP_tabela[[#This Row],[ID]],Ativas_EMP_Manual_tabela[ID],Ativas_EMP_Manual_tabela[Status],"")</f>
        <v>Ativa</v>
      </c>
      <c r="E20"/>
    </row>
    <row r="21" spans="1:5" x14ac:dyDescent="0.25">
      <c r="A21" s="2">
        <v>38</v>
      </c>
      <c r="B21" s="2" t="s">
        <v>44</v>
      </c>
      <c r="C21" s="2" t="s">
        <v>45</v>
      </c>
      <c r="D21" s="2" t="str">
        <f>_xlfn.XLOOKUP(Ativas_EMP_tabela[[#This Row],[ID]],Ativas_EMP_Manual_tabela[ID],Ativas_EMP_Manual_tabela[Status],"")</f>
        <v>Ativa</v>
      </c>
      <c r="E21"/>
    </row>
    <row r="22" spans="1:5" x14ac:dyDescent="0.25">
      <c r="A22" s="2">
        <v>93</v>
      </c>
      <c r="B22" s="2" t="s">
        <v>82</v>
      </c>
      <c r="C22" s="2" t="s">
        <v>83</v>
      </c>
      <c r="D22" s="2" t="str">
        <f>_xlfn.XLOOKUP(Ativas_EMP_tabela[[#This Row],[ID]],Ativas_EMP_Manual_tabela[ID],Ativas_EMP_Manual_tabela[Status],"")</f>
        <v>Ativa</v>
      </c>
      <c r="E22"/>
    </row>
    <row r="23" spans="1:5" x14ac:dyDescent="0.25">
      <c r="A23" s="2">
        <v>208</v>
      </c>
      <c r="B23" s="2" t="s">
        <v>222</v>
      </c>
      <c r="C23" s="2" t="s">
        <v>223</v>
      </c>
      <c r="D23" s="2" t="str">
        <f>_xlfn.XLOOKUP(Ativas_EMP_tabela[[#This Row],[ID]],Ativas_EMP_Manual_tabela[ID],Ativas_EMP_Manual_tabela[Status],"")</f>
        <v>Ativa</v>
      </c>
      <c r="E23"/>
    </row>
    <row r="24" spans="1:5" x14ac:dyDescent="0.25">
      <c r="A24" s="2">
        <v>174</v>
      </c>
      <c r="B24" s="2" t="s">
        <v>184</v>
      </c>
      <c r="C24" s="2" t="s">
        <v>185</v>
      </c>
      <c r="D24" s="2" t="str">
        <f>_xlfn.XLOOKUP(Ativas_EMP_tabela[[#This Row],[ID]],Ativas_EMP_Manual_tabela[ID],Ativas_EMP_Manual_tabela[Status],"")</f>
        <v>Ativa</v>
      </c>
      <c r="E24"/>
    </row>
    <row r="25" spans="1:5" x14ac:dyDescent="0.25">
      <c r="A25" s="2">
        <v>436</v>
      </c>
      <c r="B25" s="2" t="s">
        <v>337</v>
      </c>
      <c r="C25" s="2" t="s">
        <v>272</v>
      </c>
      <c r="D25" s="2" t="str">
        <f>_xlfn.XLOOKUP(Ativas_EMP_tabela[[#This Row],[ID]],Ativas_EMP_Manual_tabela[ID],Ativas_EMP_Manual_tabela[Status],"")</f>
        <v>Ativa</v>
      </c>
      <c r="E25"/>
    </row>
    <row r="26" spans="1:5" x14ac:dyDescent="0.25">
      <c r="A26" s="2">
        <v>112</v>
      </c>
      <c r="B26" s="2" t="s">
        <v>96</v>
      </c>
      <c r="C26" s="2" t="s">
        <v>97</v>
      </c>
      <c r="D26" s="2" t="str">
        <f>_xlfn.XLOOKUP(Ativas_EMP_tabela[[#This Row],[ID]],Ativas_EMP_Manual_tabela[ID],Ativas_EMP_Manual_tabela[Status],"")</f>
        <v>Ativa</v>
      </c>
      <c r="E26"/>
    </row>
    <row r="27" spans="1:5" x14ac:dyDescent="0.25">
      <c r="A27" s="2">
        <v>126</v>
      </c>
      <c r="B27" s="2" t="s">
        <v>112</v>
      </c>
      <c r="C27" s="2" t="s">
        <v>113</v>
      </c>
      <c r="D27" s="2" t="str">
        <f>_xlfn.XLOOKUP(Ativas_EMP_tabela[[#This Row],[ID]],Ativas_EMP_Manual_tabela[ID],Ativas_EMP_Manual_tabela[Status],"")</f>
        <v>Ativa</v>
      </c>
      <c r="E27"/>
    </row>
    <row r="28" spans="1:5" x14ac:dyDescent="0.25">
      <c r="A28" s="2">
        <v>127</v>
      </c>
      <c r="B28" s="2" t="s">
        <v>114</v>
      </c>
      <c r="C28" s="2" t="s">
        <v>115</v>
      </c>
      <c r="D28" s="2" t="str">
        <f>_xlfn.XLOOKUP(Ativas_EMP_tabela[[#This Row],[ID]],Ativas_EMP_Manual_tabela[ID],Ativas_EMP_Manual_tabela[Status],"")</f>
        <v>Ativa</v>
      </c>
      <c r="E28"/>
    </row>
    <row r="29" spans="1:5" x14ac:dyDescent="0.25">
      <c r="A29" s="2">
        <v>213</v>
      </c>
      <c r="B29" s="2" t="s">
        <v>226</v>
      </c>
      <c r="C29" s="2" t="s">
        <v>227</v>
      </c>
      <c r="D29" s="2" t="str">
        <f>_xlfn.XLOOKUP(Ativas_EMP_tabela[[#This Row],[ID]],Ativas_EMP_Manual_tabela[ID],Ativas_EMP_Manual_tabela[Status],"")</f>
        <v>Ativa</v>
      </c>
      <c r="E29"/>
    </row>
    <row r="30" spans="1:5" x14ac:dyDescent="0.25">
      <c r="A30" s="2">
        <v>306</v>
      </c>
      <c r="B30" s="2" t="s">
        <v>246</v>
      </c>
      <c r="C30" s="2" t="s">
        <v>247</v>
      </c>
      <c r="D30" s="2" t="str">
        <f>_xlfn.XLOOKUP(Ativas_EMP_tabela[[#This Row],[ID]],Ativas_EMP_Manual_tabela[ID],Ativas_EMP_Manual_tabela[Status],"")</f>
        <v>Ativa</v>
      </c>
      <c r="E30"/>
    </row>
    <row r="31" spans="1:5" x14ac:dyDescent="0.25">
      <c r="A31" s="2">
        <v>153</v>
      </c>
      <c r="B31" s="2" t="s">
        <v>158</v>
      </c>
      <c r="C31" s="2" t="s">
        <v>159</v>
      </c>
      <c r="D31" s="2" t="str">
        <f>_xlfn.XLOOKUP(Ativas_EMP_tabela[[#This Row],[ID]],Ativas_EMP_Manual_tabela[ID],Ativas_EMP_Manual_tabela[Status],"")</f>
        <v>Ativa</v>
      </c>
      <c r="E31"/>
    </row>
    <row r="32" spans="1:5" x14ac:dyDescent="0.25">
      <c r="A32" s="2">
        <v>138</v>
      </c>
      <c r="B32" s="2" t="s">
        <v>132</v>
      </c>
      <c r="C32" s="2" t="s">
        <v>133</v>
      </c>
      <c r="D32" s="2" t="str">
        <f>_xlfn.XLOOKUP(Ativas_EMP_tabela[[#This Row],[ID]],Ativas_EMP_Manual_tabela[ID],Ativas_EMP_Manual_tabela[Status],"")</f>
        <v>Ativa</v>
      </c>
      <c r="E32"/>
    </row>
    <row r="33" spans="1:5" x14ac:dyDescent="0.25">
      <c r="A33" s="2">
        <v>154</v>
      </c>
      <c r="B33" s="2" t="s">
        <v>160</v>
      </c>
      <c r="C33" s="2" t="s">
        <v>161</v>
      </c>
      <c r="D33" s="2" t="str">
        <f>_xlfn.XLOOKUP(Ativas_EMP_tabela[[#This Row],[ID]],Ativas_EMP_Manual_tabela[ID],Ativas_EMP_Manual_tabela[Status],"")</f>
        <v>Ativa</v>
      </c>
      <c r="E33"/>
    </row>
    <row r="34" spans="1:5" x14ac:dyDescent="0.25">
      <c r="A34" s="2">
        <v>111</v>
      </c>
      <c r="B34" s="2" t="s">
        <v>94</v>
      </c>
      <c r="C34" s="2" t="s">
        <v>95</v>
      </c>
      <c r="D34" s="2" t="str">
        <f>_xlfn.XLOOKUP(Ativas_EMP_tabela[[#This Row],[ID]],Ativas_EMP_Manual_tabela[ID],Ativas_EMP_Manual_tabela[Status],"")</f>
        <v>Ativa</v>
      </c>
      <c r="E34"/>
    </row>
    <row r="35" spans="1:5" x14ac:dyDescent="0.25">
      <c r="A35" s="2">
        <v>192</v>
      </c>
      <c r="B35" s="2" t="s">
        <v>204</v>
      </c>
      <c r="C35" s="2" t="s">
        <v>205</v>
      </c>
      <c r="D35" s="2" t="str">
        <f>_xlfn.XLOOKUP(Ativas_EMP_tabela[[#This Row],[ID]],Ativas_EMP_Manual_tabela[ID],Ativas_EMP_Manual_tabela[Status],"")</f>
        <v>Ativa</v>
      </c>
      <c r="E35"/>
    </row>
    <row r="36" spans="1:5" x14ac:dyDescent="0.25">
      <c r="A36" s="2">
        <v>139</v>
      </c>
      <c r="B36" s="2" t="s">
        <v>134</v>
      </c>
      <c r="C36" s="2" t="s">
        <v>135</v>
      </c>
      <c r="D36" s="2" t="str">
        <f>_xlfn.XLOOKUP(Ativas_EMP_tabela[[#This Row],[ID]],Ativas_EMP_Manual_tabela[ID],Ativas_EMP_Manual_tabela[Status],"")</f>
        <v>Ativa</v>
      </c>
      <c r="E36"/>
    </row>
    <row r="37" spans="1:5" x14ac:dyDescent="0.25">
      <c r="A37" s="2">
        <v>196</v>
      </c>
      <c r="B37" s="2" t="s">
        <v>212</v>
      </c>
      <c r="C37" s="2" t="s">
        <v>213</v>
      </c>
      <c r="D37" s="2" t="str">
        <f>_xlfn.XLOOKUP(Ativas_EMP_tabela[[#This Row],[ID]],Ativas_EMP_Manual_tabela[ID],Ativas_EMP_Manual_tabela[Status],"")</f>
        <v>Ativa</v>
      </c>
      <c r="E37"/>
    </row>
    <row r="38" spans="1:5" x14ac:dyDescent="0.25">
      <c r="A38" s="2">
        <v>137</v>
      </c>
      <c r="B38" s="2" t="s">
        <v>130</v>
      </c>
      <c r="C38" s="2" t="s">
        <v>131</v>
      </c>
      <c r="D38" s="2" t="str">
        <f>_xlfn.XLOOKUP(Ativas_EMP_tabela[[#This Row],[ID]],Ativas_EMP_Manual_tabela[ID],Ativas_EMP_Manual_tabela[Status],"")</f>
        <v>Ativa</v>
      </c>
      <c r="E38"/>
    </row>
    <row r="39" spans="1:5" x14ac:dyDescent="0.25">
      <c r="A39" s="2">
        <v>23</v>
      </c>
      <c r="B39" s="2" t="s">
        <v>24</v>
      </c>
      <c r="C39" s="2" t="s">
        <v>25</v>
      </c>
      <c r="D39" s="2" t="str">
        <f>_xlfn.XLOOKUP(Ativas_EMP_tabela[[#This Row],[ID]],Ativas_EMP_Manual_tabela[ID],Ativas_EMP_Manual_tabela[Status],"")</f>
        <v>Ativa</v>
      </c>
      <c r="E39"/>
    </row>
    <row r="40" spans="1:5" x14ac:dyDescent="0.25">
      <c r="A40" s="2">
        <v>30</v>
      </c>
      <c r="B40" s="2" t="s">
        <v>34</v>
      </c>
      <c r="C40" s="2" t="s">
        <v>35</v>
      </c>
      <c r="D40" s="2" t="str">
        <f>_xlfn.XLOOKUP(Ativas_EMP_tabela[[#This Row],[ID]],Ativas_EMP_Manual_tabela[ID],Ativas_EMP_Manual_tabela[Status],"")</f>
        <v>Ativa</v>
      </c>
      <c r="E40"/>
    </row>
    <row r="41" spans="1:5" x14ac:dyDescent="0.25">
      <c r="A41" s="2">
        <v>438</v>
      </c>
      <c r="B41" s="2" t="s">
        <v>338</v>
      </c>
      <c r="C41" s="2" t="s">
        <v>275</v>
      </c>
      <c r="D41" s="2" t="str">
        <f>_xlfn.XLOOKUP(Ativas_EMP_tabela[[#This Row],[ID]],Ativas_EMP_Manual_tabela[ID],Ativas_EMP_Manual_tabela[Status],"")</f>
        <v>Ativa</v>
      </c>
      <c r="E41"/>
    </row>
    <row r="42" spans="1:5" x14ac:dyDescent="0.25">
      <c r="A42" s="2">
        <v>142</v>
      </c>
      <c r="B42" s="2" t="s">
        <v>138</v>
      </c>
      <c r="C42" s="2" t="s">
        <v>139</v>
      </c>
      <c r="D42" s="2" t="str">
        <f>_xlfn.XLOOKUP(Ativas_EMP_tabela[[#This Row],[ID]],Ativas_EMP_Manual_tabela[ID],Ativas_EMP_Manual_tabela[Status],"")</f>
        <v>Ativa</v>
      </c>
      <c r="E42"/>
    </row>
    <row r="43" spans="1:5" x14ac:dyDescent="0.25">
      <c r="A43" s="2">
        <v>464</v>
      </c>
      <c r="B43" s="2" t="s">
        <v>310</v>
      </c>
      <c r="C43" s="2" t="s">
        <v>311</v>
      </c>
      <c r="D43" s="2" t="str">
        <f>_xlfn.XLOOKUP(Ativas_EMP_tabela[[#This Row],[ID]],Ativas_EMP_Manual_tabela[ID],Ativas_EMP_Manual_tabela[Status],"")</f>
        <v>Ativa</v>
      </c>
      <c r="E43"/>
    </row>
    <row r="44" spans="1:5" x14ac:dyDescent="0.25">
      <c r="A44" s="2">
        <v>510</v>
      </c>
      <c r="B44" s="2" t="s">
        <v>320</v>
      </c>
      <c r="C44" s="2" t="s">
        <v>321</v>
      </c>
      <c r="D44" s="2" t="str">
        <f>_xlfn.XLOOKUP(Ativas_EMP_tabela[[#This Row],[ID]],Ativas_EMP_Manual_tabela[ID],Ativas_EMP_Manual_tabela[Status],"")</f>
        <v>Ativa</v>
      </c>
      <c r="E44"/>
    </row>
    <row r="45" spans="1:5" x14ac:dyDescent="0.25">
      <c r="A45" s="2">
        <v>131</v>
      </c>
      <c r="B45" s="2" t="s">
        <v>122</v>
      </c>
      <c r="C45" s="2" t="s">
        <v>123</v>
      </c>
      <c r="D45" s="2" t="str">
        <f>_xlfn.XLOOKUP(Ativas_EMP_tabela[[#This Row],[ID]],Ativas_EMP_Manual_tabela[ID],Ativas_EMP_Manual_tabela[Status],"")</f>
        <v>Ativa</v>
      </c>
      <c r="E45"/>
    </row>
    <row r="46" spans="1:5" x14ac:dyDescent="0.25">
      <c r="A46" s="2">
        <v>191</v>
      </c>
      <c r="B46" s="2" t="s">
        <v>202</v>
      </c>
      <c r="C46" s="2" t="s">
        <v>203</v>
      </c>
      <c r="D46" s="2" t="str">
        <f>_xlfn.XLOOKUP(Ativas_EMP_tabela[[#This Row],[ID]],Ativas_EMP_Manual_tabela[ID],Ativas_EMP_Manual_tabela[Status],"")</f>
        <v>Ativa</v>
      </c>
      <c r="E46"/>
    </row>
    <row r="47" spans="1:5" x14ac:dyDescent="0.25">
      <c r="A47" s="2">
        <v>429</v>
      </c>
      <c r="B47" s="2" t="s">
        <v>365</v>
      </c>
      <c r="C47" s="2" t="s">
        <v>366</v>
      </c>
      <c r="D47" s="2" t="str">
        <f>_xlfn.XLOOKUP(Ativas_EMP_tabela[[#This Row],[ID]],Ativas_EMP_Manual_tabela[ID],Ativas_EMP_Manual_tabela[Status],"")</f>
        <v>Ativa</v>
      </c>
      <c r="E47"/>
    </row>
    <row r="48" spans="1:5" x14ac:dyDescent="0.25">
      <c r="A48" s="2">
        <v>125</v>
      </c>
      <c r="B48" s="2" t="s">
        <v>110</v>
      </c>
      <c r="C48" s="2" t="s">
        <v>111</v>
      </c>
      <c r="D48" s="2" t="str">
        <f>_xlfn.XLOOKUP(Ativas_EMP_tabela[[#This Row],[ID]],Ativas_EMP_Manual_tabela[ID],Ativas_EMP_Manual_tabela[Status],"")</f>
        <v>Ativa</v>
      </c>
      <c r="E48"/>
    </row>
    <row r="49" spans="1:5" x14ac:dyDescent="0.25">
      <c r="A49" s="2">
        <v>49</v>
      </c>
      <c r="B49" s="2" t="s">
        <v>60</v>
      </c>
      <c r="C49" s="2" t="s">
        <v>61</v>
      </c>
      <c r="D49" s="2" t="str">
        <f>_xlfn.XLOOKUP(Ativas_EMP_tabela[[#This Row],[ID]],Ativas_EMP_Manual_tabela[ID],Ativas_EMP_Manual_tabela[Status],"")</f>
        <v>Ativa</v>
      </c>
      <c r="E49"/>
    </row>
    <row r="50" spans="1:5" x14ac:dyDescent="0.25">
      <c r="A50" s="2">
        <v>156</v>
      </c>
      <c r="B50" s="2" t="s">
        <v>164</v>
      </c>
      <c r="C50" s="2" t="s">
        <v>165</v>
      </c>
      <c r="D50" s="2" t="str">
        <f>_xlfn.XLOOKUP(Ativas_EMP_tabela[[#This Row],[ID]],Ativas_EMP_Manual_tabela[ID],Ativas_EMP_Manual_tabela[Status],"")</f>
        <v>Ativa</v>
      </c>
      <c r="E50"/>
    </row>
    <row r="51" spans="1:5" x14ac:dyDescent="0.25">
      <c r="A51" s="2">
        <v>157</v>
      </c>
      <c r="B51" s="2" t="s">
        <v>166</v>
      </c>
      <c r="C51" s="2" t="s">
        <v>167</v>
      </c>
      <c r="D51" s="2" t="str">
        <f>_xlfn.XLOOKUP(Ativas_EMP_tabela[[#This Row],[ID]],Ativas_EMP_Manual_tabela[ID],Ativas_EMP_Manual_tabela[Status],"")</f>
        <v>Ativa</v>
      </c>
      <c r="E51"/>
    </row>
    <row r="52" spans="1:5" x14ac:dyDescent="0.25">
      <c r="A52" s="2">
        <v>447</v>
      </c>
      <c r="B52" s="2" t="s">
        <v>339</v>
      </c>
      <c r="C52" s="2" t="s">
        <v>340</v>
      </c>
      <c r="D52" s="2" t="str">
        <f>_xlfn.XLOOKUP(Ativas_EMP_tabela[[#This Row],[ID]],Ativas_EMP_Manual_tabela[ID],Ativas_EMP_Manual_tabela[Status],"")</f>
        <v>Ativa</v>
      </c>
      <c r="E52"/>
    </row>
    <row r="53" spans="1:5" x14ac:dyDescent="0.25">
      <c r="A53" s="2">
        <v>78</v>
      </c>
      <c r="B53" s="2" t="s">
        <v>70</v>
      </c>
      <c r="C53" s="2" t="s">
        <v>71</v>
      </c>
      <c r="D53" s="2" t="str">
        <f>_xlfn.XLOOKUP(Ativas_EMP_tabela[[#This Row],[ID]],Ativas_EMP_Manual_tabela[ID],Ativas_EMP_Manual_tabela[Status],"")</f>
        <v>Ativa</v>
      </c>
      <c r="E53"/>
    </row>
    <row r="54" spans="1:5" x14ac:dyDescent="0.25">
      <c r="A54" s="2">
        <v>3</v>
      </c>
      <c r="B54" s="2" t="s">
        <v>6</v>
      </c>
      <c r="C54" s="2" t="s">
        <v>7</v>
      </c>
      <c r="D54" s="2" t="str">
        <f>_xlfn.XLOOKUP(Ativas_EMP_tabela[[#This Row],[ID]],Ativas_EMP_Manual_tabela[ID],Ativas_EMP_Manual_tabela[Status],"")</f>
        <v>Ativa</v>
      </c>
      <c r="E54"/>
    </row>
    <row r="55" spans="1:5" x14ac:dyDescent="0.25">
      <c r="A55" s="2">
        <v>105</v>
      </c>
      <c r="B55" s="2" t="s">
        <v>90</v>
      </c>
      <c r="C55" s="2" t="s">
        <v>91</v>
      </c>
      <c r="D55" s="2" t="str">
        <f>_xlfn.XLOOKUP(Ativas_EMP_tabela[[#This Row],[ID]],Ativas_EMP_Manual_tabela[ID],Ativas_EMP_Manual_tabela[Status],"")</f>
        <v>Ativa</v>
      </c>
      <c r="E55"/>
    </row>
    <row r="56" spans="1:5" x14ac:dyDescent="0.25">
      <c r="A56" s="2">
        <v>458</v>
      </c>
      <c r="B56" s="2" t="s">
        <v>298</v>
      </c>
      <c r="C56" s="2" t="s">
        <v>299</v>
      </c>
      <c r="D56" s="2" t="str">
        <f>_xlfn.XLOOKUP(Ativas_EMP_tabela[[#This Row],[ID]],Ativas_EMP_Manual_tabela[ID],Ativas_EMP_Manual_tabela[Status],"")</f>
        <v>Ativa</v>
      </c>
      <c r="E56"/>
    </row>
    <row r="57" spans="1:5" x14ac:dyDescent="0.25">
      <c r="A57" s="2">
        <v>114</v>
      </c>
      <c r="B57" s="2" t="s">
        <v>98</v>
      </c>
      <c r="C57" s="2" t="s">
        <v>99</v>
      </c>
      <c r="D57" s="2" t="str">
        <f>_xlfn.XLOOKUP(Ativas_EMP_tabela[[#This Row],[ID]],Ativas_EMP_Manual_tabela[ID],Ativas_EMP_Manual_tabela[Status],"")</f>
        <v>Ativa</v>
      </c>
      <c r="E57"/>
    </row>
    <row r="58" spans="1:5" x14ac:dyDescent="0.25">
      <c r="A58" s="2">
        <v>187</v>
      </c>
      <c r="B58" s="2" t="s">
        <v>194</v>
      </c>
      <c r="C58" s="2" t="s">
        <v>195</v>
      </c>
      <c r="D58" s="2" t="str">
        <f>_xlfn.XLOOKUP(Ativas_EMP_tabela[[#This Row],[ID]],Ativas_EMP_Manual_tabela[ID],Ativas_EMP_Manual_tabela[Status],"")</f>
        <v>Ativa</v>
      </c>
      <c r="E58"/>
    </row>
    <row r="59" spans="1:5" x14ac:dyDescent="0.25">
      <c r="A59" s="2">
        <v>7</v>
      </c>
      <c r="B59" s="2" t="s">
        <v>8</v>
      </c>
      <c r="C59" s="2" t="s">
        <v>9</v>
      </c>
      <c r="D59" s="2" t="str">
        <f>_xlfn.XLOOKUP(Ativas_EMP_tabela[[#This Row],[ID]],Ativas_EMP_Manual_tabela[ID],Ativas_EMP_Manual_tabela[Status],"")</f>
        <v>Ativa</v>
      </c>
      <c r="E59"/>
    </row>
    <row r="60" spans="1:5" x14ac:dyDescent="0.25">
      <c r="A60" s="2">
        <v>44</v>
      </c>
      <c r="B60" s="2" t="s">
        <v>52</v>
      </c>
      <c r="C60" s="2" t="s">
        <v>53</v>
      </c>
      <c r="D60" s="2" t="str">
        <f>_xlfn.XLOOKUP(Ativas_EMP_tabela[[#This Row],[ID]],Ativas_EMP_Manual_tabela[ID],Ativas_EMP_Manual_tabela[Status],"")</f>
        <v>Ativa</v>
      </c>
      <c r="E60"/>
    </row>
    <row r="61" spans="1:5" x14ac:dyDescent="0.25">
      <c r="A61" s="2">
        <v>501</v>
      </c>
      <c r="B61" s="2" t="s">
        <v>314</v>
      </c>
      <c r="C61" s="2" t="s">
        <v>315</v>
      </c>
      <c r="D61" s="2" t="str">
        <f>_xlfn.XLOOKUP(Ativas_EMP_tabela[[#This Row],[ID]],Ativas_EMP_Manual_tabela[ID],Ativas_EMP_Manual_tabela[Status],"")</f>
        <v>Ativa</v>
      </c>
      <c r="E61"/>
    </row>
    <row r="62" spans="1:5" x14ac:dyDescent="0.25">
      <c r="A62" s="2">
        <v>82</v>
      </c>
      <c r="B62" s="2" t="s">
        <v>74</v>
      </c>
      <c r="C62" s="2" t="s">
        <v>75</v>
      </c>
      <c r="D62" s="2" t="str">
        <f>_xlfn.XLOOKUP(Ativas_EMP_tabela[[#This Row],[ID]],Ativas_EMP_Manual_tabela[ID],Ativas_EMP_Manual_tabela[Status],"")</f>
        <v>Ativa</v>
      </c>
      <c r="E62"/>
    </row>
    <row r="63" spans="1:5" x14ac:dyDescent="0.25">
      <c r="A63" s="2">
        <v>431</v>
      </c>
      <c r="B63" s="2" t="s">
        <v>262</v>
      </c>
      <c r="C63" s="2" t="s">
        <v>263</v>
      </c>
      <c r="D63" s="2" t="str">
        <f>_xlfn.XLOOKUP(Ativas_EMP_tabela[[#This Row],[ID]],Ativas_EMP_Manual_tabela[ID],Ativas_EMP_Manual_tabela[Status],"")</f>
        <v>Ativa</v>
      </c>
      <c r="E63"/>
    </row>
    <row r="64" spans="1:5" x14ac:dyDescent="0.25">
      <c r="A64" s="2">
        <v>134</v>
      </c>
      <c r="B64" s="2" t="s">
        <v>124</v>
      </c>
      <c r="C64" s="2" t="s">
        <v>125</v>
      </c>
      <c r="D64" s="2" t="str">
        <f>_xlfn.XLOOKUP(Ativas_EMP_tabela[[#This Row],[ID]],Ativas_EMP_Manual_tabela[ID],Ativas_EMP_Manual_tabela[Status],"")</f>
        <v>Ativa</v>
      </c>
      <c r="E64"/>
    </row>
    <row r="65" spans="1:5" x14ac:dyDescent="0.25">
      <c r="A65" s="2">
        <v>459</v>
      </c>
      <c r="B65" s="2" t="s">
        <v>300</v>
      </c>
      <c r="C65" s="2" t="s">
        <v>301</v>
      </c>
      <c r="D65" s="2" t="str">
        <f>_xlfn.XLOOKUP(Ativas_EMP_tabela[[#This Row],[ID]],Ativas_EMP_Manual_tabela[ID],Ativas_EMP_Manual_tabela[Status],"")</f>
        <v>Ativa</v>
      </c>
      <c r="E65"/>
    </row>
    <row r="66" spans="1:5" x14ac:dyDescent="0.25">
      <c r="A66" s="2">
        <v>129</v>
      </c>
      <c r="B66" s="2" t="s">
        <v>118</v>
      </c>
      <c r="C66" s="2" t="s">
        <v>119</v>
      </c>
      <c r="D66" s="2" t="str">
        <f>_xlfn.XLOOKUP(Ativas_EMP_tabela[[#This Row],[ID]],Ativas_EMP_Manual_tabela[ID],Ativas_EMP_Manual_tabela[Status],"")</f>
        <v>Ativa</v>
      </c>
      <c r="E66"/>
    </row>
    <row r="67" spans="1:5" x14ac:dyDescent="0.25">
      <c r="A67" s="2">
        <v>150</v>
      </c>
      <c r="B67" s="2" t="s">
        <v>154</v>
      </c>
      <c r="C67" s="2" t="s">
        <v>155</v>
      </c>
      <c r="D67" s="2" t="str">
        <f>_xlfn.XLOOKUP(Ativas_EMP_tabela[[#This Row],[ID]],Ativas_EMP_Manual_tabela[ID],Ativas_EMP_Manual_tabela[Status],"")</f>
        <v>Ativa</v>
      </c>
      <c r="E67"/>
    </row>
    <row r="68" spans="1:5" x14ac:dyDescent="0.25">
      <c r="A68" s="2">
        <v>143</v>
      </c>
      <c r="B68" s="2" t="s">
        <v>140</v>
      </c>
      <c r="C68" s="2" t="s">
        <v>141</v>
      </c>
      <c r="D68" s="2" t="str">
        <f>_xlfn.XLOOKUP(Ativas_EMP_tabela[[#This Row],[ID]],Ativas_EMP_Manual_tabela[ID],Ativas_EMP_Manual_tabela[Status],"")</f>
        <v>Ativa</v>
      </c>
      <c r="E68"/>
    </row>
    <row r="69" spans="1:5" x14ac:dyDescent="0.25">
      <c r="A69" s="2">
        <v>313</v>
      </c>
      <c r="B69" s="2" t="s">
        <v>341</v>
      </c>
      <c r="C69" s="2" t="s">
        <v>342</v>
      </c>
      <c r="D69" s="2" t="str">
        <f>_xlfn.XLOOKUP(Ativas_EMP_tabela[[#This Row],[ID]],Ativas_EMP_Manual_tabela[ID],Ativas_EMP_Manual_tabela[Status],"")</f>
        <v>Ativa</v>
      </c>
      <c r="E69"/>
    </row>
    <row r="70" spans="1:5" x14ac:dyDescent="0.25">
      <c r="A70" s="2">
        <v>145</v>
      </c>
      <c r="B70" s="2" t="s">
        <v>144</v>
      </c>
      <c r="C70" s="2" t="s">
        <v>145</v>
      </c>
      <c r="D70" s="2" t="str">
        <f>_xlfn.XLOOKUP(Ativas_EMP_tabela[[#This Row],[ID]],Ativas_EMP_Manual_tabela[ID],Ativas_EMP_Manual_tabela[Status],"")</f>
        <v>Ativa</v>
      </c>
      <c r="E70"/>
    </row>
    <row r="71" spans="1:5" x14ac:dyDescent="0.25">
      <c r="A71" s="2">
        <v>48</v>
      </c>
      <c r="B71" s="2" t="s">
        <v>58</v>
      </c>
      <c r="C71" s="2" t="s">
        <v>59</v>
      </c>
      <c r="D71" s="2" t="str">
        <f>_xlfn.XLOOKUP(Ativas_EMP_tabela[[#This Row],[ID]],Ativas_EMP_Manual_tabela[ID],Ativas_EMP_Manual_tabela[Status],"")</f>
        <v>Ativa</v>
      </c>
      <c r="E71"/>
    </row>
    <row r="72" spans="1:5" x14ac:dyDescent="0.25">
      <c r="A72" s="2">
        <v>33</v>
      </c>
      <c r="B72" s="2" t="s">
        <v>38</v>
      </c>
      <c r="C72" s="2" t="s">
        <v>39</v>
      </c>
      <c r="D72" s="2" t="str">
        <f>_xlfn.XLOOKUP(Ativas_EMP_tabela[[#This Row],[ID]],Ativas_EMP_Manual_tabela[ID],Ativas_EMP_Manual_tabela[Status],"")</f>
        <v>Ativa</v>
      </c>
      <c r="E72"/>
    </row>
    <row r="73" spans="1:5" x14ac:dyDescent="0.25">
      <c r="A73" s="2">
        <v>316</v>
      </c>
      <c r="B73" s="2" t="s">
        <v>361</v>
      </c>
      <c r="C73" s="2" t="s">
        <v>362</v>
      </c>
      <c r="D73" s="2" t="str">
        <f>_xlfn.XLOOKUP(Ativas_EMP_tabela[[#This Row],[ID]],Ativas_EMP_Manual_tabela[ID],Ativas_EMP_Manual_tabela[Status],"")</f>
        <v>Ativa</v>
      </c>
      <c r="E73"/>
    </row>
    <row r="74" spans="1:5" x14ac:dyDescent="0.25">
      <c r="A74" s="2">
        <v>310</v>
      </c>
      <c r="B74" s="2" t="s">
        <v>254</v>
      </c>
      <c r="C74" s="2" t="s">
        <v>255</v>
      </c>
      <c r="D74" s="2" t="str">
        <f>_xlfn.XLOOKUP(Ativas_EMP_tabela[[#This Row],[ID]],Ativas_EMP_Manual_tabela[ID],Ativas_EMP_Manual_tabela[Status],"")</f>
        <v>Ativa</v>
      </c>
      <c r="E74"/>
    </row>
    <row r="75" spans="1:5" x14ac:dyDescent="0.25">
      <c r="A75" s="2">
        <v>432</v>
      </c>
      <c r="B75" s="2" t="s">
        <v>264</v>
      </c>
      <c r="C75" s="2" t="s">
        <v>265</v>
      </c>
      <c r="D75" s="2" t="str">
        <f>_xlfn.XLOOKUP(Ativas_EMP_tabela[[#This Row],[ID]],Ativas_EMP_Manual_tabela[ID],Ativas_EMP_Manual_tabela[Status],"")</f>
        <v>Ativa</v>
      </c>
      <c r="E75"/>
    </row>
    <row r="76" spans="1:5" x14ac:dyDescent="0.25">
      <c r="A76" s="2">
        <v>43</v>
      </c>
      <c r="B76" s="2" t="s">
        <v>50</v>
      </c>
      <c r="C76" s="2" t="s">
        <v>51</v>
      </c>
      <c r="D76" s="2" t="str">
        <f>_xlfn.XLOOKUP(Ativas_EMP_tabela[[#This Row],[ID]],Ativas_EMP_Manual_tabela[ID],Ativas_EMP_Manual_tabela[Status],"")</f>
        <v>Ativa</v>
      </c>
      <c r="E76"/>
    </row>
    <row r="77" spans="1:5" x14ac:dyDescent="0.25">
      <c r="A77" s="2">
        <v>162</v>
      </c>
      <c r="B77" s="2" t="s">
        <v>172</v>
      </c>
      <c r="C77" s="2" t="s">
        <v>173</v>
      </c>
      <c r="D77" s="2" t="str">
        <f>_xlfn.XLOOKUP(Ativas_EMP_tabela[[#This Row],[ID]],Ativas_EMP_Manual_tabela[ID],Ativas_EMP_Manual_tabela[Status],"")</f>
        <v>Ativa</v>
      </c>
      <c r="E77"/>
    </row>
    <row r="78" spans="1:5" x14ac:dyDescent="0.25">
      <c r="A78" s="2">
        <v>144</v>
      </c>
      <c r="B78" s="2" t="s">
        <v>142</v>
      </c>
      <c r="C78" s="2" t="s">
        <v>143</v>
      </c>
      <c r="D78" s="2" t="str">
        <f>_xlfn.XLOOKUP(Ativas_EMP_tabela[[#This Row],[ID]],Ativas_EMP_Manual_tabela[ID],Ativas_EMP_Manual_tabela[Status],"")</f>
        <v>Ativa</v>
      </c>
      <c r="E78"/>
    </row>
    <row r="79" spans="1:5" x14ac:dyDescent="0.25">
      <c r="A79" s="2">
        <v>98</v>
      </c>
      <c r="B79" s="2" t="s">
        <v>86</v>
      </c>
      <c r="C79" s="2" t="s">
        <v>87</v>
      </c>
      <c r="D79" s="2" t="str">
        <f>_xlfn.XLOOKUP(Ativas_EMP_tabela[[#This Row],[ID]],Ativas_EMP_Manual_tabela[ID],Ativas_EMP_Manual_tabela[Status],"")</f>
        <v>Ativa</v>
      </c>
      <c r="E79"/>
    </row>
    <row r="80" spans="1:5" x14ac:dyDescent="0.25">
      <c r="A80" s="2">
        <v>29</v>
      </c>
      <c r="B80" s="2" t="s">
        <v>32</v>
      </c>
      <c r="C80" s="2" t="s">
        <v>33</v>
      </c>
      <c r="D80" s="2" t="str">
        <f>_xlfn.XLOOKUP(Ativas_EMP_tabela[[#This Row],[ID]],Ativas_EMP_Manual_tabela[ID],Ativas_EMP_Manual_tabela[Status],"")</f>
        <v>Ativa</v>
      </c>
      <c r="E80"/>
    </row>
    <row r="81" spans="1:5" x14ac:dyDescent="0.25">
      <c r="A81" s="2">
        <v>25</v>
      </c>
      <c r="B81" s="2" t="s">
        <v>28</v>
      </c>
      <c r="C81" s="2" t="s">
        <v>29</v>
      </c>
      <c r="D81" s="2" t="str">
        <f>_xlfn.XLOOKUP(Ativas_EMP_tabela[[#This Row],[ID]],Ativas_EMP_Manual_tabela[ID],Ativas_EMP_Manual_tabela[Status],"")</f>
        <v>Ativa</v>
      </c>
      <c r="E81"/>
    </row>
    <row r="82" spans="1:5" x14ac:dyDescent="0.25">
      <c r="A82" s="2">
        <v>107</v>
      </c>
      <c r="B82" s="2" t="s">
        <v>92</v>
      </c>
      <c r="C82" s="2" t="s">
        <v>93</v>
      </c>
      <c r="D82" s="2" t="str">
        <f>_xlfn.XLOOKUP(Ativas_EMP_tabela[[#This Row],[ID]],Ativas_EMP_Manual_tabela[ID],Ativas_EMP_Manual_tabela[Status],"")</f>
        <v>Ativa</v>
      </c>
      <c r="E82"/>
    </row>
    <row r="83" spans="1:5" x14ac:dyDescent="0.25">
      <c r="A83" s="2">
        <v>304</v>
      </c>
      <c r="B83" s="2" t="s">
        <v>242</v>
      </c>
      <c r="C83" s="2" t="s">
        <v>243</v>
      </c>
      <c r="D83" s="2" t="str">
        <f>_xlfn.XLOOKUP(Ativas_EMP_tabela[[#This Row],[ID]],Ativas_EMP_Manual_tabela[ID],Ativas_EMP_Manual_tabela[Status],"")</f>
        <v>Ativa</v>
      </c>
      <c r="E83"/>
    </row>
    <row r="84" spans="1:5" x14ac:dyDescent="0.25">
      <c r="A84" s="2">
        <v>1000</v>
      </c>
      <c r="B84" s="2" t="s">
        <v>330</v>
      </c>
      <c r="C84" s="2" t="s">
        <v>331</v>
      </c>
      <c r="D84" s="2" t="str">
        <f>_xlfn.XLOOKUP(Ativas_EMP_tabela[[#This Row],[ID]],Ativas_EMP_Manual_tabela[ID],Ativas_EMP_Manual_tabela[Status],"")</f>
        <v>Ativa</v>
      </c>
      <c r="E84"/>
    </row>
    <row r="85" spans="1:5" x14ac:dyDescent="0.25">
      <c r="A85" s="2">
        <v>61</v>
      </c>
      <c r="B85" s="2" t="s">
        <v>68</v>
      </c>
      <c r="C85" s="2" t="s">
        <v>69</v>
      </c>
      <c r="D85" s="2" t="str">
        <f>_xlfn.XLOOKUP(Ativas_EMP_tabela[[#This Row],[ID]],Ativas_EMP_Manual_tabela[ID],Ativas_EMP_Manual_tabela[Status],"")</f>
        <v>Ativa</v>
      </c>
      <c r="E85"/>
    </row>
    <row r="86" spans="1:5" x14ac:dyDescent="0.25">
      <c r="A86" s="2">
        <v>302</v>
      </c>
      <c r="B86" s="2" t="s">
        <v>238</v>
      </c>
      <c r="C86" s="2" t="s">
        <v>239</v>
      </c>
      <c r="D86" s="2" t="str">
        <f>_xlfn.XLOOKUP(Ativas_EMP_tabela[[#This Row],[ID]],Ativas_EMP_Manual_tabela[ID],Ativas_EMP_Manual_tabela[Status],"")</f>
        <v>Ativa</v>
      </c>
      <c r="E86"/>
    </row>
    <row r="87" spans="1:5" x14ac:dyDescent="0.25">
      <c r="A87" s="2">
        <v>155</v>
      </c>
      <c r="B87" s="2" t="s">
        <v>162</v>
      </c>
      <c r="C87" s="2" t="s">
        <v>163</v>
      </c>
      <c r="D87" s="2" t="str">
        <f>_xlfn.XLOOKUP(Ativas_EMP_tabela[[#This Row],[ID]],Ativas_EMP_Manual_tabela[ID],Ativas_EMP_Manual_tabela[Status],"")</f>
        <v>Ativa</v>
      </c>
      <c r="E87"/>
    </row>
    <row r="88" spans="1:5" x14ac:dyDescent="0.25">
      <c r="A88" s="2">
        <v>448</v>
      </c>
      <c r="B88" s="2" t="s">
        <v>357</v>
      </c>
      <c r="C88" s="2" t="s">
        <v>358</v>
      </c>
      <c r="D88" s="2" t="str">
        <f>_xlfn.XLOOKUP(Ativas_EMP_tabela[[#This Row],[ID]],Ativas_EMP_Manual_tabela[ID],Ativas_EMP_Manual_tabela[Status],"")</f>
        <v>Ativa</v>
      </c>
      <c r="E88"/>
    </row>
    <row r="89" spans="1:5" x14ac:dyDescent="0.25">
      <c r="A89" s="2">
        <v>117</v>
      </c>
      <c r="B89" s="2" t="s">
        <v>100</v>
      </c>
      <c r="C89" s="2" t="s">
        <v>101</v>
      </c>
      <c r="D89" s="2" t="str">
        <f>_xlfn.XLOOKUP(Ativas_EMP_tabela[[#This Row],[ID]],Ativas_EMP_Manual_tabela[ID],Ativas_EMP_Manual_tabela[Status],"")</f>
        <v>Ativa</v>
      </c>
      <c r="E89"/>
    </row>
    <row r="90" spans="1:5" x14ac:dyDescent="0.25">
      <c r="A90" s="2">
        <v>9</v>
      </c>
      <c r="B90" s="2" t="s">
        <v>10</v>
      </c>
      <c r="C90" s="2" t="s">
        <v>11</v>
      </c>
      <c r="D90" s="2" t="str">
        <f>_xlfn.XLOOKUP(Ativas_EMP_tabela[[#This Row],[ID]],Ativas_EMP_Manual_tabela[ID],Ativas_EMP_Manual_tabela[Status],"")</f>
        <v>Ativa</v>
      </c>
      <c r="E90"/>
    </row>
    <row r="91" spans="1:5" x14ac:dyDescent="0.25">
      <c r="A91" s="2">
        <v>308</v>
      </c>
      <c r="B91" s="2" t="s">
        <v>250</v>
      </c>
      <c r="C91" s="2" t="s">
        <v>251</v>
      </c>
      <c r="D91" s="2" t="str">
        <f>_xlfn.XLOOKUP(Ativas_EMP_tabela[[#This Row],[ID]],Ativas_EMP_Manual_tabela[ID],Ativas_EMP_Manual_tabela[Status],"")</f>
        <v>Ativa</v>
      </c>
      <c r="E91"/>
    </row>
    <row r="92" spans="1:5" x14ac:dyDescent="0.25">
      <c r="A92" s="2">
        <v>182</v>
      </c>
      <c r="B92" s="2" t="s">
        <v>188</v>
      </c>
      <c r="C92" s="2" t="s">
        <v>189</v>
      </c>
      <c r="D92" s="2" t="str">
        <f>_xlfn.XLOOKUP(Ativas_EMP_tabela[[#This Row],[ID]],Ativas_EMP_Manual_tabela[ID],Ativas_EMP_Manual_tabela[Status],"")</f>
        <v>Ativa</v>
      </c>
      <c r="E92"/>
    </row>
    <row r="93" spans="1:5" x14ac:dyDescent="0.25">
      <c r="A93" s="2">
        <v>95</v>
      </c>
      <c r="B93" s="2" t="s">
        <v>84</v>
      </c>
      <c r="C93" s="2" t="s">
        <v>85</v>
      </c>
      <c r="D93" s="2" t="str">
        <f>_xlfn.XLOOKUP(Ativas_EMP_tabela[[#This Row],[ID]],Ativas_EMP_Manual_tabela[ID],Ativas_EMP_Manual_tabela[Status],"")</f>
        <v>Ativa</v>
      </c>
      <c r="E93"/>
    </row>
    <row r="94" spans="1:5" x14ac:dyDescent="0.25">
      <c r="A94" s="2">
        <v>92</v>
      </c>
      <c r="B94" s="2" t="s">
        <v>80</v>
      </c>
      <c r="C94" s="2" t="s">
        <v>81</v>
      </c>
      <c r="D94" s="2" t="str">
        <f>_xlfn.XLOOKUP(Ativas_EMP_tabela[[#This Row],[ID]],Ativas_EMP_Manual_tabela[ID],Ativas_EMP_Manual_tabela[Status],"")</f>
        <v>Ativa</v>
      </c>
      <c r="E94"/>
    </row>
    <row r="95" spans="1:5" x14ac:dyDescent="0.25">
      <c r="A95" s="2">
        <v>193</v>
      </c>
      <c r="B95" s="2" t="s">
        <v>206</v>
      </c>
      <c r="C95" s="2" t="s">
        <v>207</v>
      </c>
      <c r="D95" s="2" t="str">
        <f>_xlfn.XLOOKUP(Ativas_EMP_tabela[[#This Row],[ID]],Ativas_EMP_Manual_tabela[ID],Ativas_EMP_Manual_tabela[Status],"")</f>
        <v>Ativa</v>
      </c>
      <c r="E95"/>
    </row>
    <row r="96" spans="1:5" x14ac:dyDescent="0.25">
      <c r="A96" s="2">
        <v>318</v>
      </c>
      <c r="B96" s="2" t="s">
        <v>371</v>
      </c>
      <c r="C96" s="2" t="s">
        <v>372</v>
      </c>
      <c r="D96" s="2" t="str">
        <f>_xlfn.XLOOKUP(Ativas_EMP_tabela[[#This Row],[ID]],Ativas_EMP_Manual_tabela[ID],Ativas_EMP_Manual_tabela[Status],"")</f>
        <v>Ativa</v>
      </c>
      <c r="E96"/>
    </row>
    <row r="97" spans="1:5" x14ac:dyDescent="0.25">
      <c r="A97" s="2">
        <v>315</v>
      </c>
      <c r="B97" s="2" t="s">
        <v>343</v>
      </c>
      <c r="C97" s="2" t="s">
        <v>344</v>
      </c>
      <c r="D97" s="2" t="str">
        <f>_xlfn.XLOOKUP(Ativas_EMP_tabela[[#This Row],[ID]],Ativas_EMP_Manual_tabela[ID],Ativas_EMP_Manual_tabela[Status],"")</f>
        <v>Ativa</v>
      </c>
      <c r="E97"/>
    </row>
    <row r="98" spans="1:5" x14ac:dyDescent="0.25">
      <c r="A98" s="2">
        <v>442</v>
      </c>
      <c r="B98" s="2" t="s">
        <v>345</v>
      </c>
      <c r="C98" s="2" t="s">
        <v>346</v>
      </c>
      <c r="D98" s="2" t="str">
        <f>_xlfn.XLOOKUP(Ativas_EMP_tabela[[#This Row],[ID]],Ativas_EMP_Manual_tabela[ID],Ativas_EMP_Manual_tabela[Status],"")</f>
        <v>Ativa</v>
      </c>
      <c r="E98"/>
    </row>
    <row r="99" spans="1:5" x14ac:dyDescent="0.25">
      <c r="A99" s="2">
        <v>128</v>
      </c>
      <c r="B99" s="2" t="s">
        <v>116</v>
      </c>
      <c r="C99" s="2" t="s">
        <v>117</v>
      </c>
      <c r="D99" s="2" t="str">
        <f>_xlfn.XLOOKUP(Ativas_EMP_tabela[[#This Row],[ID]],Ativas_EMP_Manual_tabela[ID],Ativas_EMP_Manual_tabela[Status],"")</f>
        <v>Ativa</v>
      </c>
      <c r="E99"/>
    </row>
    <row r="100" spans="1:5" x14ac:dyDescent="0.25">
      <c r="A100" s="2">
        <v>460</v>
      </c>
      <c r="B100" s="2" t="s">
        <v>302</v>
      </c>
      <c r="C100" s="2" t="s">
        <v>303</v>
      </c>
      <c r="D100" s="2" t="str">
        <f>_xlfn.XLOOKUP(Ativas_EMP_tabela[[#This Row],[ID]],Ativas_EMP_Manual_tabela[ID],Ativas_EMP_Manual_tabela[Status],"")</f>
        <v>Ativa</v>
      </c>
      <c r="E100"/>
    </row>
    <row r="101" spans="1:5" x14ac:dyDescent="0.25">
      <c r="A101" s="2">
        <v>457</v>
      </c>
      <c r="B101" s="2" t="s">
        <v>296</v>
      </c>
      <c r="C101" s="2" t="s">
        <v>297</v>
      </c>
      <c r="D101" s="2" t="str">
        <f>_xlfn.XLOOKUP(Ativas_EMP_tabela[[#This Row],[ID]],Ativas_EMP_Manual_tabela[ID],Ativas_EMP_Manual_tabela[Status],"")</f>
        <v>Ativa</v>
      </c>
      <c r="E101"/>
    </row>
    <row r="102" spans="1:5" x14ac:dyDescent="0.25">
      <c r="A102" s="2">
        <v>24</v>
      </c>
      <c r="B102" s="2" t="s">
        <v>26</v>
      </c>
      <c r="C102" s="2" t="s">
        <v>27</v>
      </c>
      <c r="D102" s="2" t="str">
        <f>_xlfn.XLOOKUP(Ativas_EMP_tabela[[#This Row],[ID]],Ativas_EMP_Manual_tabela[ID],Ativas_EMP_Manual_tabela[Status],"")</f>
        <v>Ativa</v>
      </c>
      <c r="E102"/>
    </row>
    <row r="103" spans="1:5" x14ac:dyDescent="0.25">
      <c r="A103" s="2">
        <v>168</v>
      </c>
      <c r="B103" s="2" t="s">
        <v>178</v>
      </c>
      <c r="C103" s="2" t="s">
        <v>179</v>
      </c>
      <c r="D103" s="2" t="str">
        <f>_xlfn.XLOOKUP(Ativas_EMP_tabela[[#This Row],[ID]],Ativas_EMP_Manual_tabela[ID],Ativas_EMP_Manual_tabela[Status],"")</f>
        <v>Ativa</v>
      </c>
      <c r="E103"/>
    </row>
    <row r="104" spans="1:5" x14ac:dyDescent="0.25">
      <c r="A104" s="2">
        <v>10</v>
      </c>
      <c r="B104" s="2" t="s">
        <v>12</v>
      </c>
      <c r="C104" s="2" t="s">
        <v>13</v>
      </c>
      <c r="D104" s="2" t="str">
        <f>_xlfn.XLOOKUP(Ativas_EMP_tabela[[#This Row],[ID]],Ativas_EMP_Manual_tabela[ID],Ativas_EMP_Manual_tabela[Status],"")</f>
        <v>Ativa</v>
      </c>
      <c r="E104"/>
    </row>
    <row r="105" spans="1:5" x14ac:dyDescent="0.25">
      <c r="A105" s="2">
        <v>461</v>
      </c>
      <c r="B105" s="2" t="s">
        <v>304</v>
      </c>
      <c r="C105" s="2" t="s">
        <v>305</v>
      </c>
      <c r="D105" s="2" t="str">
        <f>_xlfn.XLOOKUP(Ativas_EMP_tabela[[#This Row],[ID]],Ativas_EMP_Manual_tabela[ID],Ativas_EMP_Manual_tabela[Status],"")</f>
        <v>Ativa</v>
      </c>
      <c r="E105"/>
    </row>
    <row r="106" spans="1:5" x14ac:dyDescent="0.25">
      <c r="A106" s="2">
        <v>42</v>
      </c>
      <c r="B106" s="2" t="s">
        <v>48</v>
      </c>
      <c r="C106" s="2" t="s">
        <v>49</v>
      </c>
      <c r="D106" s="2" t="str">
        <f>_xlfn.XLOOKUP(Ativas_EMP_tabela[[#This Row],[ID]],Ativas_EMP_Manual_tabela[ID],Ativas_EMP_Manual_tabela[Status],"")</f>
        <v>Ativa</v>
      </c>
      <c r="E106"/>
    </row>
    <row r="107" spans="1:5" x14ac:dyDescent="0.25">
      <c r="A107" s="2">
        <v>130</v>
      </c>
      <c r="B107" s="2" t="s">
        <v>120</v>
      </c>
      <c r="C107" s="2" t="s">
        <v>121</v>
      </c>
      <c r="D107" s="2" t="str">
        <f>_xlfn.XLOOKUP(Ativas_EMP_tabela[[#This Row],[ID]],Ativas_EMP_Manual_tabela[ID],Ativas_EMP_Manual_tabela[Status],"")</f>
        <v>Ativa</v>
      </c>
      <c r="E107"/>
    </row>
    <row r="108" spans="1:5" x14ac:dyDescent="0.25">
      <c r="A108" s="2">
        <v>198</v>
      </c>
      <c r="B108" s="2" t="s">
        <v>216</v>
      </c>
      <c r="C108" s="2" t="s">
        <v>217</v>
      </c>
      <c r="D108" s="2" t="str">
        <f>_xlfn.XLOOKUP(Ativas_EMP_tabela[[#This Row],[ID]],Ativas_EMP_Manual_tabela[ID],Ativas_EMP_Manual_tabela[Status],"")</f>
        <v>Ativa</v>
      </c>
      <c r="E108"/>
    </row>
    <row r="109" spans="1:5" x14ac:dyDescent="0.25">
      <c r="A109" s="2">
        <v>86</v>
      </c>
      <c r="B109" s="2" t="s">
        <v>76</v>
      </c>
      <c r="C109" s="2" t="s">
        <v>77</v>
      </c>
      <c r="D109" s="2" t="str">
        <f>_xlfn.XLOOKUP(Ativas_EMP_tabela[[#This Row],[ID]],Ativas_EMP_Manual_tabela[ID],Ativas_EMP_Manual_tabela[Status],"")</f>
        <v>Ativa</v>
      </c>
      <c r="E109"/>
    </row>
    <row r="110" spans="1:5" x14ac:dyDescent="0.25">
      <c r="A110" s="2">
        <v>10001</v>
      </c>
      <c r="B110" s="2" t="s">
        <v>332</v>
      </c>
      <c r="C110" s="2" t="s">
        <v>333</v>
      </c>
      <c r="D110" s="2" t="str">
        <f>_xlfn.XLOOKUP(Ativas_EMP_tabela[[#This Row],[ID]],Ativas_EMP_Manual_tabela[ID],Ativas_EMP_Manual_tabela[Status],"")</f>
        <v>Inativa</v>
      </c>
      <c r="E110"/>
    </row>
    <row r="111" spans="1:5" x14ac:dyDescent="0.25">
      <c r="A111" s="2">
        <v>449</v>
      </c>
      <c r="B111" s="2" t="s">
        <v>359</v>
      </c>
      <c r="C111" s="2" t="s">
        <v>360</v>
      </c>
      <c r="D111" s="2" t="str">
        <f>_xlfn.XLOOKUP(Ativas_EMP_tabela[[#This Row],[ID]],Ativas_EMP_Manual_tabela[ID],Ativas_EMP_Manual_tabela[Status],"")</f>
        <v>Ativa</v>
      </c>
      <c r="E111"/>
    </row>
    <row r="112" spans="1:5" x14ac:dyDescent="0.25">
      <c r="A112" s="2">
        <v>11</v>
      </c>
      <c r="B112" s="2" t="s">
        <v>14</v>
      </c>
      <c r="C112" s="2" t="s">
        <v>15</v>
      </c>
      <c r="D112" s="2" t="str">
        <f>_xlfn.XLOOKUP(Ativas_EMP_tabela[[#This Row],[ID]],Ativas_EMP_Manual_tabela[ID],Ativas_EMP_Manual_tabela[Status],"")</f>
        <v>Ativa</v>
      </c>
      <c r="E112"/>
    </row>
    <row r="113" spans="1:5" x14ac:dyDescent="0.25">
      <c r="A113" s="2">
        <v>135</v>
      </c>
      <c r="B113" s="2" t="s">
        <v>126</v>
      </c>
      <c r="C113" s="2" t="s">
        <v>127</v>
      </c>
      <c r="D113" s="2" t="str">
        <f>_xlfn.XLOOKUP(Ativas_EMP_tabela[[#This Row],[ID]],Ativas_EMP_Manual_tabela[ID],Ativas_EMP_Manual_tabela[Status],"")</f>
        <v>Ativa</v>
      </c>
      <c r="E113"/>
    </row>
    <row r="114" spans="1:5" x14ac:dyDescent="0.25">
      <c r="A114" s="2">
        <v>443</v>
      </c>
      <c r="B114" s="2" t="s">
        <v>347</v>
      </c>
      <c r="C114" s="2" t="s">
        <v>348</v>
      </c>
      <c r="D114" s="2" t="str">
        <f>_xlfn.XLOOKUP(Ativas_EMP_tabela[[#This Row],[ID]],Ativas_EMP_Manual_tabela[ID],Ativas_EMP_Manual_tabela[Status],"")</f>
        <v>Ativa</v>
      </c>
      <c r="E114"/>
    </row>
    <row r="115" spans="1:5" x14ac:dyDescent="0.25">
      <c r="A115" s="2">
        <v>141</v>
      </c>
      <c r="B115" s="2" t="s">
        <v>136</v>
      </c>
      <c r="C115" s="2" t="s">
        <v>137</v>
      </c>
      <c r="D115" s="2" t="str">
        <f>_xlfn.XLOOKUP(Ativas_EMP_tabela[[#This Row],[ID]],Ativas_EMP_Manual_tabela[ID],Ativas_EMP_Manual_tabela[Status],"")</f>
        <v>Ativa</v>
      </c>
      <c r="E115"/>
    </row>
    <row r="116" spans="1:5" x14ac:dyDescent="0.25">
      <c r="A116" s="2">
        <v>1</v>
      </c>
      <c r="B116" s="2" t="s">
        <v>3</v>
      </c>
      <c r="C116" s="2" t="s">
        <v>4</v>
      </c>
      <c r="D116" s="2" t="str">
        <f>_xlfn.XLOOKUP(Ativas_EMP_tabela[[#This Row],[ID]],Ativas_EMP_Manual_tabela[ID],Ativas_EMP_Manual_tabela[Status],"")</f>
        <v>Ativa</v>
      </c>
      <c r="E116"/>
    </row>
    <row r="117" spans="1:5" x14ac:dyDescent="0.25">
      <c r="A117" s="2">
        <v>102</v>
      </c>
      <c r="B117" s="2" t="s">
        <v>88</v>
      </c>
      <c r="C117" s="2" t="s">
        <v>89</v>
      </c>
      <c r="D117" s="2" t="str">
        <f>_xlfn.XLOOKUP(Ativas_EMP_tabela[[#This Row],[ID]],Ativas_EMP_Manual_tabela[ID],Ativas_EMP_Manual_tabela[Status],"")</f>
        <v>Ativa</v>
      </c>
      <c r="E117"/>
    </row>
    <row r="118" spans="1:5" x14ac:dyDescent="0.25">
      <c r="A118" s="2">
        <v>79</v>
      </c>
      <c r="B118" s="2" t="s">
        <v>72</v>
      </c>
      <c r="C118" s="2" t="s">
        <v>73</v>
      </c>
      <c r="D118" s="2" t="str">
        <f>_xlfn.XLOOKUP(Ativas_EMP_tabela[[#This Row],[ID]],Ativas_EMP_Manual_tabela[ID],Ativas_EMP_Manual_tabela[Status],"")</f>
        <v>Ativa</v>
      </c>
      <c r="E118"/>
    </row>
    <row r="119" spans="1:5" x14ac:dyDescent="0.25">
      <c r="A119" s="2">
        <v>15</v>
      </c>
      <c r="B119" s="2" t="s">
        <v>18</v>
      </c>
      <c r="C119" s="2" t="s">
        <v>19</v>
      </c>
      <c r="D119" s="2" t="str">
        <f>_xlfn.XLOOKUP(Ativas_EMP_tabela[[#This Row],[ID]],Ativas_EMP_Manual_tabela[ID],Ativas_EMP_Manual_tabela[Status],"")</f>
        <v>Ativa</v>
      </c>
      <c r="E119"/>
    </row>
    <row r="120" spans="1:5" x14ac:dyDescent="0.25">
      <c r="A120" s="2">
        <v>37</v>
      </c>
      <c r="B120" s="2" t="s">
        <v>42</v>
      </c>
      <c r="C120" s="2" t="s">
        <v>43</v>
      </c>
      <c r="D120" s="2" t="str">
        <f>_xlfn.XLOOKUP(Ativas_EMP_tabela[[#This Row],[ID]],Ativas_EMP_Manual_tabela[ID],Ativas_EMP_Manual_tabela[Status],"")</f>
        <v>Ativa</v>
      </c>
      <c r="E120"/>
    </row>
    <row r="121" spans="1:5" x14ac:dyDescent="0.25">
      <c r="A121" s="2">
        <v>195</v>
      </c>
      <c r="B121" s="2" t="s">
        <v>210</v>
      </c>
      <c r="C121" s="2" t="s">
        <v>211</v>
      </c>
      <c r="D121" s="2" t="str">
        <f>_xlfn.XLOOKUP(Ativas_EMP_tabela[[#This Row],[ID]],Ativas_EMP_Manual_tabela[ID],Ativas_EMP_Manual_tabela[Status],"")</f>
        <v>Ativa</v>
      </c>
      <c r="E121"/>
    </row>
    <row r="122" spans="1:5" x14ac:dyDescent="0.25">
      <c r="A122" s="2">
        <v>46</v>
      </c>
      <c r="B122" s="2" t="s">
        <v>54</v>
      </c>
      <c r="C122" s="2" t="s">
        <v>55</v>
      </c>
      <c r="D122" s="2" t="str">
        <f>_xlfn.XLOOKUP(Ativas_EMP_tabela[[#This Row],[ID]],Ativas_EMP_Manual_tabela[ID],Ativas_EMP_Manual_tabela[Status],"")</f>
        <v>Ativa</v>
      </c>
      <c r="E122"/>
    </row>
    <row r="123" spans="1:5" x14ac:dyDescent="0.25">
      <c r="A123" s="2">
        <v>445</v>
      </c>
      <c r="B123" s="2" t="s">
        <v>349</v>
      </c>
      <c r="C123" s="2" t="s">
        <v>350</v>
      </c>
      <c r="D123" s="2" t="str">
        <f>_xlfn.XLOOKUP(Ativas_EMP_tabela[[#This Row],[ID]],Ativas_EMP_Manual_tabela[ID],Ativas_EMP_Manual_tabela[Status],"")</f>
        <v>Ativa</v>
      </c>
      <c r="E123"/>
    </row>
    <row r="124" spans="1:5" x14ac:dyDescent="0.25">
      <c r="A124" s="2">
        <v>300</v>
      </c>
      <c r="B124" s="2" t="s">
        <v>236</v>
      </c>
      <c r="C124" s="2" t="s">
        <v>237</v>
      </c>
      <c r="D124" s="2" t="str">
        <f>_xlfn.XLOOKUP(Ativas_EMP_tabela[[#This Row],[ID]],Ativas_EMP_Manual_tabela[ID],Ativas_EMP_Manual_tabela[Status],"")</f>
        <v>Ativa</v>
      </c>
      <c r="E124"/>
    </row>
    <row r="125" spans="1:5" x14ac:dyDescent="0.25">
      <c r="A125" s="2">
        <v>319</v>
      </c>
      <c r="B125" s="2" t="s">
        <v>369</v>
      </c>
      <c r="C125" s="2" t="s">
        <v>370</v>
      </c>
      <c r="D125" s="2" t="str">
        <f>_xlfn.XLOOKUP(Ativas_EMP_tabela[[#This Row],[ID]],Ativas_EMP_Manual_tabela[ID],Ativas_EMP_Manual_tabela[Status],"")</f>
        <v>Ativa</v>
      </c>
      <c r="E125"/>
    </row>
    <row r="126" spans="1:5" x14ac:dyDescent="0.25">
      <c r="A126" s="2">
        <v>147</v>
      </c>
      <c r="B126" s="2" t="s">
        <v>148</v>
      </c>
      <c r="C126" s="2" t="s">
        <v>149</v>
      </c>
      <c r="D126" s="2" t="str">
        <f>_xlfn.XLOOKUP(Ativas_EMP_tabela[[#This Row],[ID]],Ativas_EMP_Manual_tabela[ID],Ativas_EMP_Manual_tabela[Status],"")</f>
        <v>Ativa</v>
      </c>
      <c r="E126"/>
    </row>
    <row r="127" spans="1:5" x14ac:dyDescent="0.25">
      <c r="A127" s="2">
        <v>185</v>
      </c>
      <c r="B127" s="2" t="s">
        <v>190</v>
      </c>
      <c r="C127" s="2" t="s">
        <v>191</v>
      </c>
      <c r="D127" s="2" t="str">
        <f>_xlfn.XLOOKUP(Ativas_EMP_tabela[[#This Row],[ID]],Ativas_EMP_Manual_tabela[ID],Ativas_EMP_Manual_tabela[Status],"")</f>
        <v>Ativa</v>
      </c>
      <c r="E127"/>
    </row>
    <row r="128" spans="1:5" x14ac:dyDescent="0.25">
      <c r="A128" s="2">
        <v>441</v>
      </c>
      <c r="B128" s="2" t="s">
        <v>280</v>
      </c>
      <c r="C128" s="2" t="s">
        <v>281</v>
      </c>
      <c r="D128" s="2" t="str">
        <f>_xlfn.XLOOKUP(Ativas_EMP_tabela[[#This Row],[ID]],Ativas_EMP_Manual_tabela[ID],Ativas_EMP_Manual_tabela[Status],"")</f>
        <v>Ativa</v>
      </c>
      <c r="E128"/>
    </row>
    <row r="129" spans="1:5" x14ac:dyDescent="0.25">
      <c r="A129" s="2">
        <v>199</v>
      </c>
      <c r="B129" s="2" t="s">
        <v>218</v>
      </c>
      <c r="C129" s="2" t="s">
        <v>219</v>
      </c>
      <c r="D129" s="2" t="str">
        <f>_xlfn.XLOOKUP(Ativas_EMP_tabela[[#This Row],[ID]],Ativas_EMP_Manual_tabela[ID],Ativas_EMP_Manual_tabela[Status],"")</f>
        <v>Ativa</v>
      </c>
      <c r="E129"/>
    </row>
    <row r="130" spans="1:5" x14ac:dyDescent="0.25">
      <c r="A130" s="2">
        <v>175</v>
      </c>
      <c r="B130" s="2" t="s">
        <v>186</v>
      </c>
      <c r="C130" s="2" t="s">
        <v>187</v>
      </c>
      <c r="D130" s="2" t="str">
        <f>_xlfn.XLOOKUP(Ativas_EMP_tabela[[#This Row],[ID]],Ativas_EMP_Manual_tabela[ID],Ativas_EMP_Manual_tabela[Status],"")</f>
        <v>Ativa</v>
      </c>
      <c r="E130"/>
    </row>
    <row r="131" spans="1:5" x14ac:dyDescent="0.25">
      <c r="A131" s="2">
        <v>309</v>
      </c>
      <c r="B131" s="2" t="s">
        <v>252</v>
      </c>
      <c r="C131" s="2" t="s">
        <v>253</v>
      </c>
      <c r="D131" s="2" t="str">
        <f>_xlfn.XLOOKUP(Ativas_EMP_tabela[[#This Row],[ID]],Ativas_EMP_Manual_tabela[ID],Ativas_EMP_Manual_tabela[Status],"")</f>
        <v>Ativa</v>
      </c>
      <c r="E131"/>
    </row>
    <row r="132" spans="1:5" x14ac:dyDescent="0.25">
      <c r="A132" s="2">
        <v>433</v>
      </c>
      <c r="B132" s="2" t="s">
        <v>266</v>
      </c>
      <c r="C132" s="2" t="s">
        <v>267</v>
      </c>
      <c r="D132" s="2" t="str">
        <f>_xlfn.XLOOKUP(Ativas_EMP_tabela[[#This Row],[ID]],Ativas_EMP_Manual_tabela[ID],Ativas_EMP_Manual_tabela[Status],"")</f>
        <v>Ativa</v>
      </c>
      <c r="E132"/>
    </row>
    <row r="133" spans="1:5" x14ac:dyDescent="0.25">
      <c r="A133" s="2">
        <v>435</v>
      </c>
      <c r="B133" s="2" t="s">
        <v>270</v>
      </c>
      <c r="C133" s="2" t="s">
        <v>271</v>
      </c>
      <c r="D133" s="2" t="str">
        <f>_xlfn.XLOOKUP(Ativas_EMP_tabela[[#This Row],[ID]],Ativas_EMP_Manual_tabela[ID],Ativas_EMP_Manual_tabela[Status],"")</f>
        <v>Ativa</v>
      </c>
      <c r="E133"/>
    </row>
    <row r="134" spans="1:5" x14ac:dyDescent="0.25">
      <c r="A134" s="2">
        <v>503</v>
      </c>
      <c r="B134" s="2" t="s">
        <v>318</v>
      </c>
      <c r="C134" s="2" t="s">
        <v>319</v>
      </c>
      <c r="D134" s="2" t="str">
        <f>_xlfn.XLOOKUP(Ativas_EMP_tabela[[#This Row],[ID]],Ativas_EMP_Manual_tabela[ID],Ativas_EMP_Manual_tabela[Status],"")</f>
        <v>Ativa</v>
      </c>
      <c r="E134"/>
    </row>
    <row r="135" spans="1:5" x14ac:dyDescent="0.25">
      <c r="A135" s="2">
        <v>136</v>
      </c>
      <c r="B135" s="2" t="s">
        <v>128</v>
      </c>
      <c r="C135" s="2" t="s">
        <v>129</v>
      </c>
      <c r="D135" s="2" t="str">
        <f>_xlfn.XLOOKUP(Ativas_EMP_tabela[[#This Row],[ID]],Ativas_EMP_Manual_tabela[ID],Ativas_EMP_Manual_tabela[Status],"")</f>
        <v>Ativa</v>
      </c>
      <c r="E135"/>
    </row>
    <row r="136" spans="1:5" x14ac:dyDescent="0.25">
      <c r="A136" s="2">
        <v>451</v>
      </c>
      <c r="B136" s="2" t="s">
        <v>284</v>
      </c>
      <c r="C136" s="2" t="s">
        <v>285</v>
      </c>
      <c r="D136" s="2" t="str">
        <f>_xlfn.XLOOKUP(Ativas_EMP_tabela[[#This Row],[ID]],Ativas_EMP_Manual_tabela[ID],Ativas_EMP_Manual_tabela[Status],"")</f>
        <v>Ativa</v>
      </c>
      <c r="E136"/>
    </row>
    <row r="137" spans="1:5" x14ac:dyDescent="0.25">
      <c r="A137" s="2">
        <v>453</v>
      </c>
      <c r="B137" s="2" t="s">
        <v>288</v>
      </c>
      <c r="C137" s="2" t="s">
        <v>289</v>
      </c>
      <c r="D137" s="2" t="str">
        <f>_xlfn.XLOOKUP(Ativas_EMP_tabela[[#This Row],[ID]],Ativas_EMP_Manual_tabela[ID],Ativas_EMP_Manual_tabela[Status],"")</f>
        <v>Ativa</v>
      </c>
      <c r="E137"/>
    </row>
    <row r="138" spans="1:5" x14ac:dyDescent="0.25">
      <c r="A138" s="2">
        <v>454</v>
      </c>
      <c r="B138" s="2" t="s">
        <v>290</v>
      </c>
      <c r="C138" s="2" t="s">
        <v>291</v>
      </c>
      <c r="D138" s="2" t="str">
        <f>_xlfn.XLOOKUP(Ativas_EMP_tabela[[#This Row],[ID]],Ativas_EMP_Manual_tabela[ID],Ativas_EMP_Manual_tabela[Status],"")</f>
        <v>Ativa</v>
      </c>
      <c r="E138"/>
    </row>
    <row r="139" spans="1:5" x14ac:dyDescent="0.25">
      <c r="A139" s="2">
        <v>317</v>
      </c>
      <c r="B139" s="2" t="s">
        <v>363</v>
      </c>
      <c r="C139" s="2" t="s">
        <v>364</v>
      </c>
      <c r="D139" s="2" t="str">
        <f>_xlfn.XLOOKUP(Ativas_EMP_tabela[[#This Row],[ID]],Ativas_EMP_Manual_tabela[ID],Ativas_EMP_Manual_tabela[Status],"")</f>
        <v>Ativa</v>
      </c>
      <c r="E139"/>
    </row>
    <row r="140" spans="1:5" x14ac:dyDescent="0.25">
      <c r="A140" s="2">
        <v>152</v>
      </c>
      <c r="B140" s="2" t="s">
        <v>156</v>
      </c>
      <c r="C140" s="2" t="s">
        <v>157</v>
      </c>
      <c r="D140" s="2" t="str">
        <f>_xlfn.XLOOKUP(Ativas_EMP_tabela[[#This Row],[ID]],Ativas_EMP_Manual_tabela[ID],Ativas_EMP_Manual_tabela[Status],"")</f>
        <v>Ativa</v>
      </c>
      <c r="E140"/>
    </row>
    <row r="141" spans="1:5" x14ac:dyDescent="0.25">
      <c r="A141" s="2">
        <v>194</v>
      </c>
      <c r="B141" s="2" t="s">
        <v>208</v>
      </c>
      <c r="C141" s="2" t="s">
        <v>209</v>
      </c>
      <c r="D141" s="2" t="str">
        <f>_xlfn.XLOOKUP(Ativas_EMP_tabela[[#This Row],[ID]],Ativas_EMP_Manual_tabela[ID],Ativas_EMP_Manual_tabela[Status],"")</f>
        <v>Ativa</v>
      </c>
      <c r="E141"/>
    </row>
    <row r="142" spans="1:5" x14ac:dyDescent="0.25">
      <c r="A142" s="2">
        <v>166</v>
      </c>
      <c r="B142" s="2" t="s">
        <v>174</v>
      </c>
      <c r="C142" s="2" t="s">
        <v>175</v>
      </c>
      <c r="D142" s="2" t="str">
        <f>_xlfn.XLOOKUP(Ativas_EMP_tabela[[#This Row],[ID]],Ativas_EMP_Manual_tabela[ID],Ativas_EMP_Manual_tabela[Status],"")</f>
        <v>Ativa</v>
      </c>
      <c r="E142"/>
    </row>
    <row r="143" spans="1:5" x14ac:dyDescent="0.25">
      <c r="A143" s="2">
        <v>307</v>
      </c>
      <c r="B143" s="2" t="s">
        <v>248</v>
      </c>
      <c r="C143" s="2" t="s">
        <v>249</v>
      </c>
      <c r="D143" s="2" t="str">
        <f>_xlfn.XLOOKUP(Ativas_EMP_tabela[[#This Row],[ID]],Ativas_EMP_Manual_tabela[ID],Ativas_EMP_Manual_tabela[Status],"")</f>
        <v>Ativa</v>
      </c>
      <c r="E143"/>
    </row>
    <row r="144" spans="1:5" x14ac:dyDescent="0.25">
      <c r="A144" s="2">
        <v>455</v>
      </c>
      <c r="B144" s="2" t="s">
        <v>292</v>
      </c>
      <c r="C144" s="2" t="s">
        <v>293</v>
      </c>
      <c r="D144" s="2" t="str">
        <f>_xlfn.XLOOKUP(Ativas_EMP_tabela[[#This Row],[ID]],Ativas_EMP_Manual_tabela[ID],Ativas_EMP_Manual_tabela[Status],"")</f>
        <v>Ativa</v>
      </c>
      <c r="E144"/>
    </row>
    <row r="145" spans="1:5" x14ac:dyDescent="0.25">
      <c r="A145" s="2">
        <v>450</v>
      </c>
      <c r="B145" s="2" t="s">
        <v>282</v>
      </c>
      <c r="C145" s="2" t="s">
        <v>283</v>
      </c>
      <c r="D145" s="2" t="str">
        <f>_xlfn.XLOOKUP(Ativas_EMP_tabela[[#This Row],[ID]],Ativas_EMP_Manual_tabela[ID],Ativas_EMP_Manual_tabela[Status],"")</f>
        <v>Ativa</v>
      </c>
      <c r="E145"/>
    </row>
    <row r="146" spans="1:5" x14ac:dyDescent="0.25">
      <c r="A146" s="2">
        <v>149</v>
      </c>
      <c r="B146" s="2" t="s">
        <v>152</v>
      </c>
      <c r="C146" s="2" t="s">
        <v>153</v>
      </c>
      <c r="D146" s="2" t="str">
        <f>_xlfn.XLOOKUP(Ativas_EMP_tabela[[#This Row],[ID]],Ativas_EMP_Manual_tabela[ID],Ativas_EMP_Manual_tabela[Status],"")</f>
        <v>Ativa</v>
      </c>
      <c r="E146"/>
    </row>
    <row r="147" spans="1:5" x14ac:dyDescent="0.25">
      <c r="A147" s="2">
        <v>439</v>
      </c>
      <c r="B147" s="2" t="s">
        <v>276</v>
      </c>
      <c r="C147" s="2" t="s">
        <v>277</v>
      </c>
      <c r="D147" s="2" t="str">
        <f>_xlfn.XLOOKUP(Ativas_EMP_tabela[[#This Row],[ID]],Ativas_EMP_Manual_tabela[ID],Ativas_EMP_Manual_tabela[Status],"")</f>
        <v>Ativa</v>
      </c>
      <c r="E147"/>
    </row>
    <row r="148" spans="1:5" x14ac:dyDescent="0.25">
      <c r="A148" s="2">
        <v>462</v>
      </c>
      <c r="B148" s="2" t="s">
        <v>306</v>
      </c>
      <c r="C148" s="2" t="s">
        <v>307</v>
      </c>
      <c r="D148" s="2" t="str">
        <f>_xlfn.XLOOKUP(Ativas_EMP_tabela[[#This Row],[ID]],Ativas_EMP_Manual_tabela[ID],Ativas_EMP_Manual_tabela[Status],"")</f>
        <v>Ativa</v>
      </c>
      <c r="E148"/>
    </row>
    <row r="149" spans="1:5" x14ac:dyDescent="0.25">
      <c r="A149" s="2">
        <v>456</v>
      </c>
      <c r="B149" s="2" t="s">
        <v>294</v>
      </c>
      <c r="C149" s="2" t="s">
        <v>295</v>
      </c>
      <c r="D149" s="2" t="str">
        <f>_xlfn.XLOOKUP(Ativas_EMP_tabela[[#This Row],[ID]],Ativas_EMP_Manual_tabela[ID],Ativas_EMP_Manual_tabela[Status],"")</f>
        <v>Ativa</v>
      </c>
      <c r="E149"/>
    </row>
    <row r="150" spans="1:5" x14ac:dyDescent="0.25">
      <c r="A150" s="2">
        <v>47</v>
      </c>
      <c r="B150" s="2" t="s">
        <v>56</v>
      </c>
      <c r="C150" s="2" t="s">
        <v>57</v>
      </c>
      <c r="D150" s="2" t="str">
        <f>_xlfn.XLOOKUP(Ativas_EMP_tabela[[#This Row],[ID]],Ativas_EMP_Manual_tabela[ID],Ativas_EMP_Manual_tabela[Status],"")</f>
        <v>Ativa</v>
      </c>
      <c r="E150"/>
    </row>
    <row r="151" spans="1:5" x14ac:dyDescent="0.25">
      <c r="A151" s="2">
        <v>998</v>
      </c>
      <c r="B151" s="2" t="s">
        <v>328</v>
      </c>
      <c r="C151" s="2" t="s">
        <v>329</v>
      </c>
      <c r="D151" s="2" t="str">
        <f>_xlfn.XLOOKUP(Ativas_EMP_tabela[[#This Row],[ID]],Ativas_EMP_Manual_tabela[ID],Ativas_EMP_Manual_tabela[Status],"")</f>
        <v>Ativa</v>
      </c>
      <c r="E151"/>
    </row>
    <row r="152" spans="1:5" x14ac:dyDescent="0.25">
      <c r="A152" s="2">
        <v>987</v>
      </c>
      <c r="B152" s="2" t="s">
        <v>324</v>
      </c>
      <c r="C152" s="2" t="s">
        <v>325</v>
      </c>
      <c r="D152" s="2" t="str">
        <f>_xlfn.XLOOKUP(Ativas_EMP_tabela[[#This Row],[ID]],Ativas_EMP_Manual_tabela[ID],Ativas_EMP_Manual_tabela[Status],"")</f>
        <v>Ativa</v>
      </c>
      <c r="E152"/>
    </row>
    <row r="153" spans="1:5" x14ac:dyDescent="0.25">
      <c r="A153" s="2">
        <v>22</v>
      </c>
      <c r="B153" s="2" t="s">
        <v>22</v>
      </c>
      <c r="C153" s="2" t="s">
        <v>23</v>
      </c>
      <c r="D153" s="2" t="str">
        <f>_xlfn.XLOOKUP(Ativas_EMP_tabela[[#This Row],[ID]],Ativas_EMP_Manual_tabela[ID],Ativas_EMP_Manual_tabela[Status],"")</f>
        <v>Ativa</v>
      </c>
      <c r="E153"/>
    </row>
    <row r="154" spans="1:5" x14ac:dyDescent="0.25">
      <c r="A154" s="2">
        <v>120</v>
      </c>
      <c r="B154" s="2" t="s">
        <v>102</v>
      </c>
      <c r="C154" s="2" t="s">
        <v>103</v>
      </c>
      <c r="D154" s="2" t="str">
        <f>_xlfn.XLOOKUP(Ativas_EMP_tabela[[#This Row],[ID]],Ativas_EMP_Manual_tabela[ID],Ativas_EMP_Manual_tabela[Status],"")</f>
        <v>Ativa</v>
      </c>
      <c r="E154"/>
    </row>
    <row r="155" spans="1:5" x14ac:dyDescent="0.25">
      <c r="A155" s="2">
        <v>314</v>
      </c>
      <c r="B155" s="2" t="s">
        <v>351</v>
      </c>
      <c r="C155" s="2" t="s">
        <v>352</v>
      </c>
      <c r="D155" s="2" t="str">
        <f>_xlfn.XLOOKUP(Ativas_EMP_tabela[[#This Row],[ID]],Ativas_EMP_Manual_tabela[ID],Ativas_EMP_Manual_tabela[Status],"")</f>
        <v>Ativa</v>
      </c>
      <c r="E155"/>
    </row>
    <row r="156" spans="1:5" x14ac:dyDescent="0.25">
      <c r="A156" s="2">
        <v>122</v>
      </c>
      <c r="B156" s="2" t="s">
        <v>104</v>
      </c>
      <c r="C156" s="2" t="s">
        <v>105</v>
      </c>
      <c r="D156" s="2" t="str">
        <f>_xlfn.XLOOKUP(Ativas_EMP_tabela[[#This Row],[ID]],Ativas_EMP_Manual_tabela[ID],Ativas_EMP_Manual_tabela[Status],"")</f>
        <v>Ativa</v>
      </c>
      <c r="E156"/>
    </row>
    <row r="157" spans="1:5" x14ac:dyDescent="0.25">
      <c r="A157" s="2">
        <v>169</v>
      </c>
      <c r="B157" s="2" t="s">
        <v>180</v>
      </c>
      <c r="C157" s="2" t="s">
        <v>181</v>
      </c>
      <c r="D157" s="2" t="str">
        <f>_xlfn.XLOOKUP(Ativas_EMP_tabela[[#This Row],[ID]],Ativas_EMP_Manual_tabela[ID],Ativas_EMP_Manual_tabela[Status],"")</f>
        <v>Ativa</v>
      </c>
      <c r="E157"/>
    </row>
    <row r="158" spans="1:5" x14ac:dyDescent="0.25">
      <c r="A158" s="2">
        <v>161</v>
      </c>
      <c r="B158" s="2" t="s">
        <v>170</v>
      </c>
      <c r="C158" s="2" t="s">
        <v>171</v>
      </c>
      <c r="D158" s="2" t="str">
        <f>_xlfn.XLOOKUP(Ativas_EMP_tabela[[#This Row],[ID]],Ativas_EMP_Manual_tabela[ID],Ativas_EMP_Manual_tabela[Status],"")</f>
        <v>Ativa</v>
      </c>
      <c r="E158"/>
    </row>
    <row r="159" spans="1:5" x14ac:dyDescent="0.25">
      <c r="A159" s="2">
        <v>39</v>
      </c>
      <c r="B159" s="2" t="s">
        <v>46</v>
      </c>
      <c r="C159" s="2" t="s">
        <v>47</v>
      </c>
      <c r="D159" s="2" t="str">
        <f>_xlfn.XLOOKUP(Ativas_EMP_tabela[[#This Row],[ID]],Ativas_EMP_Manual_tabela[ID],Ativas_EMP_Manual_tabela[Status],"")</f>
        <v>Ativa</v>
      </c>
      <c r="E159"/>
    </row>
    <row r="160" spans="1:5" x14ac:dyDescent="0.25">
      <c r="A160" s="2">
        <v>303</v>
      </c>
      <c r="B160" s="2" t="s">
        <v>240</v>
      </c>
      <c r="C160" s="2" t="s">
        <v>241</v>
      </c>
      <c r="D160" s="2" t="str">
        <f>_xlfn.XLOOKUP(Ativas_EMP_tabela[[#This Row],[ID]],Ativas_EMP_Manual_tabela[ID],Ativas_EMP_Manual_tabela[Status],"")</f>
        <v>Ativa</v>
      </c>
      <c r="E160"/>
    </row>
    <row r="161" spans="1:5" x14ac:dyDescent="0.25">
      <c r="A161" s="2">
        <v>444</v>
      </c>
      <c r="B161" s="2" t="s">
        <v>353</v>
      </c>
      <c r="C161" s="2" t="s">
        <v>354</v>
      </c>
      <c r="D161" s="2" t="str">
        <f>_xlfn.XLOOKUP(Ativas_EMP_tabela[[#This Row],[ID]],Ativas_EMP_Manual_tabela[ID],Ativas_EMP_Manual_tabela[Status],"")</f>
        <v>Ativa</v>
      </c>
      <c r="E161"/>
    </row>
    <row r="162" spans="1:5" x14ac:dyDescent="0.25">
      <c r="A162" s="2">
        <v>197</v>
      </c>
      <c r="B162" s="2" t="s">
        <v>214</v>
      </c>
      <c r="C162" s="2" t="s">
        <v>215</v>
      </c>
      <c r="D162" s="2" t="str">
        <f>_xlfn.XLOOKUP(Ativas_EMP_tabela[[#This Row],[ID]],Ativas_EMP_Manual_tabela[ID],Ativas_EMP_Manual_tabela[Status],"")</f>
        <v>Ativa</v>
      </c>
      <c r="E162"/>
    </row>
    <row r="163" spans="1:5" x14ac:dyDescent="0.25">
      <c r="A163" s="2">
        <v>91</v>
      </c>
      <c r="B163" s="2" t="s">
        <v>78</v>
      </c>
      <c r="C163" s="2" t="s">
        <v>79</v>
      </c>
      <c r="D163" s="2" t="str">
        <f>_xlfn.XLOOKUP(Ativas_EMP_tabela[[#This Row],[ID]],Ativas_EMP_Manual_tabela[ID],Ativas_EMP_Manual_tabela[Status],"")</f>
        <v>Ativa</v>
      </c>
      <c r="E163"/>
    </row>
    <row r="164" spans="1:5" x14ac:dyDescent="0.25">
      <c r="A164" s="2">
        <v>35</v>
      </c>
      <c r="B164" s="2" t="s">
        <v>40</v>
      </c>
      <c r="C164" s="2" t="s">
        <v>41</v>
      </c>
      <c r="D164" s="2" t="str">
        <f>_xlfn.XLOOKUP(Ativas_EMP_tabela[[#This Row],[ID]],Ativas_EMP_Manual_tabela[ID],Ativas_EMP_Manual_tabela[Status],"")</f>
        <v>Ativa</v>
      </c>
      <c r="E164"/>
    </row>
    <row r="165" spans="1:5" x14ac:dyDescent="0.25">
      <c r="A165" s="2">
        <v>173</v>
      </c>
      <c r="B165" s="2" t="s">
        <v>182</v>
      </c>
      <c r="C165" s="2" t="s">
        <v>183</v>
      </c>
      <c r="D165" s="2" t="str">
        <f>_xlfn.XLOOKUP(Ativas_EMP_tabela[[#This Row],[ID]],Ativas_EMP_Manual_tabela[ID],Ativas_EMP_Manual_tabela[Status],"")</f>
        <v>Ativa</v>
      </c>
      <c r="E165"/>
    </row>
    <row r="166" spans="1:5" x14ac:dyDescent="0.25">
      <c r="A166" s="2">
        <v>218</v>
      </c>
      <c r="B166" s="2" t="s">
        <v>230</v>
      </c>
      <c r="C166" s="2" t="s">
        <v>231</v>
      </c>
      <c r="D166" s="2" t="str">
        <f>_xlfn.XLOOKUP(Ativas_EMP_tabela[[#This Row],[ID]],Ativas_EMP_Manual_tabela[ID],Ativas_EMP_Manual_tabela[Status],"")</f>
        <v>Ativa</v>
      </c>
      <c r="E166"/>
    </row>
    <row r="167" spans="1:5" x14ac:dyDescent="0.25">
      <c r="A167" s="2">
        <v>211</v>
      </c>
      <c r="B167" s="2" t="s">
        <v>224</v>
      </c>
      <c r="C167" s="2" t="s">
        <v>225</v>
      </c>
      <c r="D167" s="2" t="str">
        <f>_xlfn.XLOOKUP(Ativas_EMP_tabela[[#This Row],[ID]],Ativas_EMP_Manual_tabela[ID],Ativas_EMP_Manual_tabela[Status],"")</f>
        <v>Ativa</v>
      </c>
      <c r="E167"/>
    </row>
    <row r="168" spans="1:5" x14ac:dyDescent="0.25">
      <c r="A168" s="2">
        <v>200</v>
      </c>
      <c r="B168" s="2" t="s">
        <v>220</v>
      </c>
      <c r="C168" s="2" t="s">
        <v>221</v>
      </c>
      <c r="D168" s="2" t="str">
        <f>_xlfn.XLOOKUP(Ativas_EMP_tabela[[#This Row],[ID]],Ativas_EMP_Manual_tabela[ID],Ativas_EMP_Manual_tabela[Status],"")</f>
        <v>Ativa</v>
      </c>
      <c r="E168"/>
    </row>
    <row r="169" spans="1:5" x14ac:dyDescent="0.25">
      <c r="A169" s="2">
        <v>223</v>
      </c>
      <c r="B169" s="2" t="s">
        <v>232</v>
      </c>
      <c r="C169" s="2" t="s">
        <v>233</v>
      </c>
      <c r="D169" s="2" t="str">
        <f>_xlfn.XLOOKUP(Ativas_EMP_tabela[[#This Row],[ID]],Ativas_EMP_Manual_tabela[ID],Ativas_EMP_Manual_tabela[Status],"")</f>
        <v>Ativa</v>
      </c>
      <c r="E169"/>
    </row>
    <row r="170" spans="1:5" x14ac:dyDescent="0.25">
      <c r="A170" s="2">
        <v>224</v>
      </c>
      <c r="B170" s="2" t="s">
        <v>234</v>
      </c>
      <c r="C170" s="2" t="s">
        <v>235</v>
      </c>
      <c r="D170" s="2" t="str">
        <f>_xlfn.XLOOKUP(Ativas_EMP_tabela[[#This Row],[ID]],Ativas_EMP_Manual_tabela[ID],Ativas_EMP_Manual_tabela[Status],"")</f>
        <v>Ativa</v>
      </c>
      <c r="E170"/>
    </row>
    <row r="171" spans="1:5" x14ac:dyDescent="0.25">
      <c r="A171" s="2">
        <v>215</v>
      </c>
      <c r="B171" s="2" t="s">
        <v>228</v>
      </c>
      <c r="C171" s="2" t="s">
        <v>229</v>
      </c>
      <c r="D171" s="2" t="str">
        <f>_xlfn.XLOOKUP(Ativas_EMP_tabela[[#This Row],[ID]],Ativas_EMP_Manual_tabela[ID],Ativas_EMP_Manual_tabela[Status],"")</f>
        <v>Ativa</v>
      </c>
      <c r="E171"/>
    </row>
    <row r="172" spans="1:5" x14ac:dyDescent="0.25">
      <c r="A172" s="2">
        <v>446</v>
      </c>
      <c r="B172" s="2" t="s">
        <v>355</v>
      </c>
      <c r="C172" s="2" t="s">
        <v>356</v>
      </c>
      <c r="D172" s="2" t="str">
        <f>_xlfn.XLOOKUP(Ativas_EMP_tabela[[#This Row],[ID]],Ativas_EMP_Manual_tabela[ID],Ativas_EMP_Manual_tabela[Status],"")</f>
        <v>Ativa</v>
      </c>
      <c r="E172"/>
    </row>
    <row r="173" spans="1:5" x14ac:dyDescent="0.25">
      <c r="A173" s="2">
        <v>312</v>
      </c>
      <c r="B173" s="2" t="s">
        <v>258</v>
      </c>
      <c r="C173" s="2" t="s">
        <v>259</v>
      </c>
      <c r="D173" s="2" t="str">
        <f>_xlfn.XLOOKUP(Ativas_EMP_tabela[[#This Row],[ID]],Ativas_EMP_Manual_tabela[ID],Ativas_EMP_Manual_tabela[Status],"")</f>
        <v>Ativa</v>
      </c>
      <c r="E173"/>
    </row>
    <row r="174" spans="1:5" x14ac:dyDescent="0.25">
      <c r="A174" s="2">
        <v>430</v>
      </c>
      <c r="B174" s="2" t="s">
        <v>260</v>
      </c>
      <c r="C174" s="2" t="s">
        <v>261</v>
      </c>
      <c r="D174" s="2" t="str">
        <f>_xlfn.XLOOKUP(Ativas_EMP_tabela[[#This Row],[ID]],Ativas_EMP_Manual_tabela[ID],Ativas_EMP_Manual_tabela[Status],"")</f>
        <v>Ativa</v>
      </c>
      <c r="E174"/>
    </row>
    <row r="175" spans="1:5" x14ac:dyDescent="0.25">
      <c r="A175" s="2">
        <v>305</v>
      </c>
      <c r="B175" s="2" t="s">
        <v>244</v>
      </c>
      <c r="C175" s="2" t="s">
        <v>245</v>
      </c>
      <c r="D175" s="2" t="str">
        <f>_xlfn.XLOOKUP(Ativas_EMP_tabela[[#This Row],[ID]],Ativas_EMP_Manual_tabela[ID],Ativas_EMP_Manual_tabela[Status],"")</f>
        <v>Ativa</v>
      </c>
      <c r="E175"/>
    </row>
    <row r="176" spans="1:5" x14ac:dyDescent="0.25">
      <c r="A176" s="2">
        <v>311</v>
      </c>
      <c r="B176" s="2" t="s">
        <v>256</v>
      </c>
      <c r="C176" s="2" t="s">
        <v>257</v>
      </c>
      <c r="D176" s="2" t="str">
        <f>_xlfn.XLOOKUP(Ativas_EMP_tabela[[#This Row],[ID]],Ativas_EMP_Manual_tabela[ID],Ativas_EMP_Manual_tabela[Status],"")</f>
        <v>Ativa</v>
      </c>
      <c r="E176"/>
    </row>
    <row r="177" spans="1:4" x14ac:dyDescent="0.25">
      <c r="A177" s="2">
        <v>31</v>
      </c>
      <c r="B177" s="2" t="s">
        <v>36</v>
      </c>
      <c r="C177" s="2" t="s">
        <v>37</v>
      </c>
      <c r="D177" s="2" t="str">
        <f>_xlfn.XLOOKUP(Ativas_EMP_tabela[[#This Row],[ID]],Ativas_EMP_Manual_tabela[ID],Ativas_EMP_Manual_tabela[Status],"")</f>
        <v>Ativa</v>
      </c>
    </row>
    <row r="178" spans="1:4" x14ac:dyDescent="0.25">
      <c r="A178" s="2">
        <v>148</v>
      </c>
      <c r="B178" s="2" t="s">
        <v>150</v>
      </c>
      <c r="C178" s="2" t="s">
        <v>151</v>
      </c>
      <c r="D178" s="2" t="str">
        <f>_xlfn.XLOOKUP(Ativas_EMP_tabela[[#This Row],[ID]],Ativas_EMP_Manual_tabela[ID],Ativas_EMP_Manual_tabela[Status],"")</f>
        <v>Ativa</v>
      </c>
    </row>
    <row r="179" spans="1:4" x14ac:dyDescent="0.25">
      <c r="A179" s="2">
        <v>186</v>
      </c>
      <c r="B179" s="2" t="s">
        <v>192</v>
      </c>
      <c r="C179" s="2" t="s">
        <v>193</v>
      </c>
      <c r="D179" s="2" t="str">
        <f>_xlfn.XLOOKUP(Ativas_EMP_tabela[[#This Row],[ID]],Ativas_EMP_Manual_tabela[ID],Ativas_EMP_Manual_tabela[Status],"")</f>
        <v>Ativa</v>
      </c>
    </row>
    <row r="180" spans="1:4" x14ac:dyDescent="0.25">
      <c r="A180" s="2">
        <v>190</v>
      </c>
      <c r="B180" s="2" t="s">
        <v>200</v>
      </c>
      <c r="C180" s="2" t="s">
        <v>201</v>
      </c>
      <c r="D180" s="2" t="str">
        <f>_xlfn.XLOOKUP(Ativas_EMP_tabela[[#This Row],[ID]],Ativas_EMP_Manual_tabela[ID],Ativas_EMP_Manual_tabela[Status],"")</f>
        <v>Ativa</v>
      </c>
    </row>
    <row r="181" spans="1:4" x14ac:dyDescent="0.25">
      <c r="A181" s="2">
        <v>600</v>
      </c>
      <c r="B181" s="2" t="s">
        <v>322</v>
      </c>
      <c r="C181" s="2" t="s">
        <v>323</v>
      </c>
      <c r="D181" s="2" t="str">
        <f>_xlfn.XLOOKUP(Ativas_EMP_tabela[[#This Row],[ID]],Ativas_EMP_Manual_tabela[ID],Ativas_EMP_Manual_tabela[Status],"")</f>
        <v>Inativa</v>
      </c>
    </row>
    <row r="182" spans="1:4" x14ac:dyDescent="0.25">
      <c r="A182" s="2">
        <v>452</v>
      </c>
      <c r="B182" s="2" t="s">
        <v>286</v>
      </c>
      <c r="C182" s="2" t="s">
        <v>287</v>
      </c>
      <c r="D182" s="2" t="str">
        <f>_xlfn.XLOOKUP(Ativas_EMP_tabela[[#This Row],[ID]],Ativas_EMP_Manual_tabela[ID],Ativas_EMP_Manual_tabela[Status],"")</f>
        <v>Ativa</v>
      </c>
    </row>
    <row r="183" spans="1:4" x14ac:dyDescent="0.25">
      <c r="A183" s="2">
        <v>463</v>
      </c>
      <c r="B183" s="2" t="s">
        <v>308</v>
      </c>
      <c r="C183" s="2" t="s">
        <v>309</v>
      </c>
      <c r="D183" s="2" t="str">
        <f>_xlfn.XLOOKUP(Ativas_EMP_tabela[[#This Row],[ID]],Ativas_EMP_Manual_tabela[ID],Ativas_EMP_Manual_tabela[Status],"")</f>
        <v>Ativa</v>
      </c>
    </row>
    <row r="184" spans="1:4" x14ac:dyDescent="0.25">
      <c r="A184" s="2">
        <v>167</v>
      </c>
      <c r="B184" s="2" t="s">
        <v>176</v>
      </c>
      <c r="C184" s="2" t="s">
        <v>177</v>
      </c>
      <c r="D184" s="2" t="str">
        <f>_xlfn.XLOOKUP(Ativas_EMP_tabela[[#This Row],[ID]],Ativas_EMP_Manual_tabela[ID],Ativas_EMP_Manual_tabela[Status],"")</f>
        <v>Ativa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E2114-A523-41FF-98EE-346B8A0F8FAF}">
  <sheetPr codeName="Planilha2"/>
  <dimension ref="A1:C193"/>
  <sheetViews>
    <sheetView showGridLines="0" topLeftCell="A168" workbookViewId="0">
      <selection activeCell="B195" sqref="B195"/>
    </sheetView>
  </sheetViews>
  <sheetFormatPr defaultRowHeight="15" x14ac:dyDescent="0.25"/>
  <cols>
    <col min="1" max="1" width="9.85546875" style="2" customWidth="1"/>
    <col min="2" max="2" width="40" style="2" customWidth="1"/>
    <col min="3" max="3" width="20.85546875" style="2" customWidth="1"/>
  </cols>
  <sheetData>
    <row r="1" spans="1:3" ht="15.75" thickBot="1" x14ac:dyDescent="0.3">
      <c r="A1" s="1" t="s">
        <v>0</v>
      </c>
      <c r="B1" s="1" t="s">
        <v>1</v>
      </c>
      <c r="C1" s="1" t="s">
        <v>334</v>
      </c>
    </row>
    <row r="2" spans="1:3" ht="15.75" thickTop="1" x14ac:dyDescent="0.25">
      <c r="A2" s="2">
        <v>1</v>
      </c>
      <c r="B2" s="2" t="str">
        <f>_xlfn.XLOOKUP(Ativas_EMP_Manual_tabela[[#This Row],[ID]],Ativas_EMP_tabela[ID],Ativas_EMP_tabela[Razão social],"")</f>
        <v>MS MODAS</v>
      </c>
      <c r="C2" s="2" t="s">
        <v>5</v>
      </c>
    </row>
    <row r="3" spans="1:3" x14ac:dyDescent="0.25">
      <c r="A3" s="2">
        <v>3</v>
      </c>
      <c r="B3" s="2" t="str">
        <f>_xlfn.XLOOKUP(Ativas_EMP_Manual_tabela[[#This Row],[ID]],Ativas_EMP_tabela[ID],Ativas_EMP_tabela[Razão social],"")</f>
        <v>CIAL</v>
      </c>
      <c r="C3" s="2" t="s">
        <v>5</v>
      </c>
    </row>
    <row r="4" spans="1:3" x14ac:dyDescent="0.25">
      <c r="A4" s="2">
        <v>7</v>
      </c>
      <c r="B4" s="2" t="str">
        <f>_xlfn.XLOOKUP(Ativas_EMP_Manual_tabela[[#This Row],[ID]],Ativas_EMP_tabela[ID],Ativas_EMP_tabela[Razão social],"")</f>
        <v>DISLEY</v>
      </c>
      <c r="C4" s="2" t="s">
        <v>5</v>
      </c>
    </row>
    <row r="5" spans="1:3" x14ac:dyDescent="0.25">
      <c r="A5" s="2">
        <v>9</v>
      </c>
      <c r="B5" s="2" t="str">
        <f>_xlfn.XLOOKUP(Ativas_EMP_Manual_tabela[[#This Row],[ID]],Ativas_EMP_tabela[ID],Ativas_EMP_tabela[Razão social],"")</f>
        <v>IMPERIO</v>
      </c>
      <c r="C5" s="2" t="s">
        <v>5</v>
      </c>
    </row>
    <row r="6" spans="1:3" x14ac:dyDescent="0.25">
      <c r="A6" s="2">
        <v>10</v>
      </c>
      <c r="B6" s="2" t="str">
        <f>_xlfn.XLOOKUP(Ativas_EMP_Manual_tabela[[#This Row],[ID]],Ativas_EMP_tabela[ID],Ativas_EMP_tabela[Razão social],"")</f>
        <v>LUIZ P</v>
      </c>
      <c r="C6" s="2" t="s">
        <v>5</v>
      </c>
    </row>
    <row r="7" spans="1:3" x14ac:dyDescent="0.25">
      <c r="A7" s="2">
        <v>11</v>
      </c>
      <c r="B7" s="2" t="str">
        <f>_xlfn.XLOOKUP(Ativas_EMP_Manual_tabela[[#This Row],[ID]],Ativas_EMP_tabela[ID],Ativas_EMP_tabela[Razão social],"")</f>
        <v>MIDIA</v>
      </c>
      <c r="C7" s="2" t="s">
        <v>5</v>
      </c>
    </row>
    <row r="8" spans="1:3" x14ac:dyDescent="0.25">
      <c r="A8" s="2">
        <v>12</v>
      </c>
      <c r="B8" s="2" t="str">
        <f>_xlfn.XLOOKUP(Ativas_EMP_Manual_tabela[[#This Row],[ID]],Ativas_EMP_tabela[ID],Ativas_EMP_tabela[Razão social],"")</f>
        <v>AMR</v>
      </c>
      <c r="C8" s="2" t="s">
        <v>5</v>
      </c>
    </row>
    <row r="9" spans="1:3" x14ac:dyDescent="0.25">
      <c r="A9" s="2">
        <v>15</v>
      </c>
      <c r="B9" s="2" t="str">
        <f>_xlfn.XLOOKUP(Ativas_EMP_Manual_tabela[[#This Row],[ID]],Ativas_EMP_tabela[ID],Ativas_EMP_tabela[Razão social],"")</f>
        <v>NA ENG</v>
      </c>
      <c r="C9" s="2" t="s">
        <v>5</v>
      </c>
    </row>
    <row r="10" spans="1:3" x14ac:dyDescent="0.25">
      <c r="A10" s="2">
        <v>19</v>
      </c>
      <c r="B10" s="2" t="str">
        <f>_xlfn.XLOOKUP(Ativas_EMP_Manual_tabela[[#This Row],[ID]],Ativas_EMP_tabela[ID],Ativas_EMP_tabela[Razão social],"")</f>
        <v>AM ENG</v>
      </c>
      <c r="C10" s="2" t="s">
        <v>5</v>
      </c>
    </row>
    <row r="11" spans="1:3" x14ac:dyDescent="0.25">
      <c r="A11" s="2">
        <v>22</v>
      </c>
      <c r="B11" s="2" t="str">
        <f>_xlfn.XLOOKUP(Ativas_EMP_Manual_tabela[[#This Row],[ID]],Ativas_EMP_tabela[ID],Ativas_EMP_tabela[Razão social],"")</f>
        <v>SILVA</v>
      </c>
      <c r="C11" s="2" t="s">
        <v>5</v>
      </c>
    </row>
    <row r="12" spans="1:3" x14ac:dyDescent="0.25">
      <c r="A12" s="2">
        <v>23</v>
      </c>
      <c r="B12" s="2" t="str">
        <f>_xlfn.XLOOKUP(Ativas_EMP_Manual_tabela[[#This Row],[ID]],Ativas_EMP_tabela[ID],Ativas_EMP_tabela[Razão social],"")</f>
        <v>CAMARGOS</v>
      </c>
      <c r="C12" s="2" t="s">
        <v>5</v>
      </c>
    </row>
    <row r="13" spans="1:3" x14ac:dyDescent="0.25">
      <c r="A13" s="2">
        <v>24</v>
      </c>
      <c r="B13" s="2" t="str">
        <f>_xlfn.XLOOKUP(Ativas_EMP_Manual_tabela[[#This Row],[ID]],Ativas_EMP_tabela[ID],Ativas_EMP_tabela[Razão social],"")</f>
        <v>LRX</v>
      </c>
      <c r="C13" s="2" t="s">
        <v>5</v>
      </c>
    </row>
    <row r="14" spans="1:3" x14ac:dyDescent="0.25">
      <c r="A14" s="2">
        <v>25</v>
      </c>
      <c r="B14" s="2" t="str">
        <f>_xlfn.XLOOKUP(Ativas_EMP_Manual_tabela[[#This Row],[ID]],Ativas_EMP_tabela[ID],Ativas_EMP_tabela[Razão social],"")</f>
        <v>HABITAR</v>
      </c>
      <c r="C14" s="2" t="s">
        <v>5</v>
      </c>
    </row>
    <row r="15" spans="1:3" x14ac:dyDescent="0.25">
      <c r="A15" s="2">
        <v>26</v>
      </c>
      <c r="B15" s="2" t="str">
        <f>_xlfn.XLOOKUP(Ativas_EMP_Manual_tabela[[#This Row],[ID]],Ativas_EMP_tabela[ID],Ativas_EMP_tabela[Razão social],"")</f>
        <v>AM MODAS</v>
      </c>
      <c r="C15" s="2" t="s">
        <v>5</v>
      </c>
    </row>
    <row r="16" spans="1:3" x14ac:dyDescent="0.25">
      <c r="A16" s="2">
        <v>29</v>
      </c>
      <c r="B16" s="2" t="str">
        <f>_xlfn.XLOOKUP(Ativas_EMP_Manual_tabela[[#This Row],[ID]],Ativas_EMP_tabela[ID],Ativas_EMP_tabela[Razão social],"")</f>
        <v>GYN MODAS</v>
      </c>
      <c r="C16" s="2" t="s">
        <v>5</v>
      </c>
    </row>
    <row r="17" spans="1:3" x14ac:dyDescent="0.25">
      <c r="A17" s="2">
        <v>30</v>
      </c>
      <c r="B17" s="2" t="str">
        <f>_xlfn.XLOOKUP(Ativas_EMP_Manual_tabela[[#This Row],[ID]],Ativas_EMP_tabela[ID],Ativas_EMP_tabela[Razão social],"")</f>
        <v>CAMELIAS</v>
      </c>
      <c r="C17" s="2" t="s">
        <v>5</v>
      </c>
    </row>
    <row r="18" spans="1:3" x14ac:dyDescent="0.25">
      <c r="A18" s="2">
        <v>31</v>
      </c>
      <c r="B18" s="2" t="str">
        <f>_xlfn.XLOOKUP(Ativas_EMP_Manual_tabela[[#This Row],[ID]],Ativas_EMP_tabela[ID],Ativas_EMP_tabela[Razão social],"")</f>
        <v>W ENG</v>
      </c>
      <c r="C18" s="2" t="s">
        <v>5</v>
      </c>
    </row>
    <row r="19" spans="1:3" x14ac:dyDescent="0.25">
      <c r="A19" s="2">
        <v>33</v>
      </c>
      <c r="B19" s="2" t="str">
        <f>_xlfn.XLOOKUP(Ativas_EMP_Manual_tabela[[#This Row],[ID]],Ativas_EMP_tabela[ID],Ativas_EMP_tabela[Razão social],"")</f>
        <v>GEO ENG</v>
      </c>
      <c r="C19" s="2" t="s">
        <v>5</v>
      </c>
    </row>
    <row r="20" spans="1:3" x14ac:dyDescent="0.25">
      <c r="A20" s="2">
        <v>35</v>
      </c>
      <c r="B20" s="2" t="str">
        <f>_xlfn.XLOOKUP(Ativas_EMP_Manual_tabela[[#This Row],[ID]],Ativas_EMP_tabela[ID],Ativas_EMP_tabela[Razão social],"")</f>
        <v>TRSGO</v>
      </c>
      <c r="C20" s="2" t="s">
        <v>5</v>
      </c>
    </row>
    <row r="21" spans="1:3" x14ac:dyDescent="0.25">
      <c r="A21" s="2">
        <v>37</v>
      </c>
      <c r="B21" s="2" t="str">
        <f>_xlfn.XLOOKUP(Ativas_EMP_Manual_tabela[[#This Row],[ID]],Ativas_EMP_tabela[ID],Ativas_EMP_tabela[Razão social],"")</f>
        <v>ORS</v>
      </c>
      <c r="C21" s="2" t="s">
        <v>5</v>
      </c>
    </row>
    <row r="22" spans="1:3" x14ac:dyDescent="0.25">
      <c r="A22" s="2">
        <v>38</v>
      </c>
      <c r="B22" s="2" t="str">
        <f>_xlfn.XLOOKUP(Ativas_EMP_Manual_tabela[[#This Row],[ID]],Ativas_EMP_tabela[ID],Ativas_EMP_tabela[Razão social],"")</f>
        <v>AMS</v>
      </c>
      <c r="C22" s="2" t="s">
        <v>5</v>
      </c>
    </row>
    <row r="23" spans="1:3" x14ac:dyDescent="0.25">
      <c r="A23" s="2">
        <v>39</v>
      </c>
      <c r="B23" s="2" t="str">
        <f>_xlfn.XLOOKUP(Ativas_EMP_Manual_tabela[[#This Row],[ID]],Ativas_EMP_tabela[ID],Ativas_EMP_tabela[Razão social],"")</f>
        <v>TECNOMAQ</v>
      </c>
      <c r="C23" s="2" t="s">
        <v>5</v>
      </c>
    </row>
    <row r="24" spans="1:3" x14ac:dyDescent="0.25">
      <c r="A24" s="2">
        <v>42</v>
      </c>
      <c r="B24" s="2" t="str">
        <f>_xlfn.XLOOKUP(Ativas_EMP_Manual_tabela[[#This Row],[ID]],Ativas_EMP_tabela[ID],Ativas_EMP_tabela[Razão social],"")</f>
        <v>MARCO</v>
      </c>
      <c r="C24" s="2" t="s">
        <v>5</v>
      </c>
    </row>
    <row r="25" spans="1:3" x14ac:dyDescent="0.25">
      <c r="A25" s="2">
        <v>43</v>
      </c>
      <c r="B25" s="2" t="str">
        <f>_xlfn.XLOOKUP(Ativas_EMP_Manual_tabela[[#This Row],[ID]],Ativas_EMP_tabela[ID],Ativas_EMP_tabela[Razão social],"")</f>
        <v>GRS</v>
      </c>
      <c r="C25" s="2" t="s">
        <v>5</v>
      </c>
    </row>
    <row r="26" spans="1:3" x14ac:dyDescent="0.25">
      <c r="A26" s="2">
        <v>44</v>
      </c>
      <c r="B26" s="2" t="str">
        <f>_xlfn.XLOOKUP(Ativas_EMP_Manual_tabela[[#This Row],[ID]],Ativas_EMP_tabela[ID],Ativas_EMP_tabela[Razão social],"")</f>
        <v>DM</v>
      </c>
      <c r="C26" s="2" t="s">
        <v>5</v>
      </c>
    </row>
    <row r="27" spans="1:3" x14ac:dyDescent="0.25">
      <c r="A27" s="2">
        <v>46</v>
      </c>
      <c r="B27" s="2" t="str">
        <f>_xlfn.XLOOKUP(Ativas_EMP_Manual_tabela[[#This Row],[ID]],Ativas_EMP_tabela[ID],Ativas_EMP_tabela[Razão social],"")</f>
        <v>PANGEA</v>
      </c>
      <c r="C27" s="2" t="s">
        <v>5</v>
      </c>
    </row>
    <row r="28" spans="1:3" x14ac:dyDescent="0.25">
      <c r="A28" s="2">
        <v>47</v>
      </c>
      <c r="B28" s="2" t="str">
        <f>_xlfn.XLOOKUP(Ativas_EMP_Manual_tabela[[#This Row],[ID]],Ativas_EMP_tabela[ID],Ativas_EMP_tabela[Razão social],"")</f>
        <v>SEVEN</v>
      </c>
      <c r="C28" s="2" t="s">
        <v>5</v>
      </c>
    </row>
    <row r="29" spans="1:3" x14ac:dyDescent="0.25">
      <c r="A29" s="2">
        <v>48</v>
      </c>
      <c r="B29" s="2" t="str">
        <f>_xlfn.XLOOKUP(Ativas_EMP_Manual_tabela[[#This Row],[ID]],Ativas_EMP_tabela[ID],Ativas_EMP_tabela[Razão social],"")</f>
        <v>GCAM</v>
      </c>
      <c r="C29" s="2" t="s">
        <v>5</v>
      </c>
    </row>
    <row r="30" spans="1:3" x14ac:dyDescent="0.25">
      <c r="A30" s="2">
        <v>49</v>
      </c>
      <c r="B30" s="2" t="str">
        <f>_xlfn.XLOOKUP(Ativas_EMP_Manual_tabela[[#This Row],[ID]],Ativas_EMP_tabela[ID],Ativas_EMP_tabela[Razão social],"")</f>
        <v>CEMAF 60</v>
      </c>
      <c r="C30" s="2" t="s">
        <v>5</v>
      </c>
    </row>
    <row r="31" spans="1:3" x14ac:dyDescent="0.25">
      <c r="A31" s="2">
        <v>50</v>
      </c>
      <c r="B31" s="2" t="str">
        <f>_xlfn.XLOOKUP(Ativas_EMP_Manual_tabela[[#This Row],[ID]],Ativas_EMP_tabela[ID],Ativas_EMP_tabela[Razão social],"")</f>
        <v>AD 52</v>
      </c>
      <c r="C31" s="2" t="s">
        <v>5</v>
      </c>
    </row>
    <row r="32" spans="1:3" x14ac:dyDescent="0.25">
      <c r="A32" s="2">
        <v>51</v>
      </c>
      <c r="B32" s="2" t="str">
        <f>_xlfn.XLOOKUP(Ativas_EMP_Manual_tabela[[#This Row],[ID]],Ativas_EMP_tabela[ID],Ativas_EMP_tabela[Razão social],"")</f>
        <v>ALX</v>
      </c>
      <c r="C32" s="2" t="s">
        <v>5</v>
      </c>
    </row>
    <row r="33" spans="1:3" x14ac:dyDescent="0.25">
      <c r="A33" s="2">
        <v>57</v>
      </c>
      <c r="B33" s="2" t="str">
        <f>_xlfn.XLOOKUP(Ativas_EMP_Manual_tabela[[#This Row],[ID]],Ativas_EMP_tabela[ID],Ativas_EMP_tabela[Razão social],"")</f>
        <v>ALOHA</v>
      </c>
      <c r="C33" s="2" t="s">
        <v>5</v>
      </c>
    </row>
    <row r="34" spans="1:3" x14ac:dyDescent="0.25">
      <c r="A34" s="2">
        <v>61</v>
      </c>
      <c r="B34" s="2" t="str">
        <f>_xlfn.XLOOKUP(Ativas_EMP_Manual_tabela[[#This Row],[ID]],Ativas_EMP_tabela[ID],Ativas_EMP_tabela[Razão social],"")</f>
        <v>IDEAL</v>
      </c>
      <c r="C34" s="2" t="s">
        <v>5</v>
      </c>
    </row>
    <row r="35" spans="1:3" x14ac:dyDescent="0.25">
      <c r="A35" s="2">
        <v>78</v>
      </c>
      <c r="B35" s="2" t="str">
        <f>_xlfn.XLOOKUP(Ativas_EMP_Manual_tabela[[#This Row],[ID]],Ativas_EMP_tabela[ID],Ativas_EMP_tabela[Razão social],"")</f>
        <v>CH</v>
      </c>
      <c r="C35" s="2" t="s">
        <v>5</v>
      </c>
    </row>
    <row r="36" spans="1:3" x14ac:dyDescent="0.25">
      <c r="A36" s="2">
        <v>79</v>
      </c>
      <c r="B36" s="2" t="str">
        <f>_xlfn.XLOOKUP(Ativas_EMP_Manual_tabela[[#This Row],[ID]],Ativas_EMP_tabela[ID],Ativas_EMP_tabela[Razão social],"")</f>
        <v>MX</v>
      </c>
      <c r="C36" s="2" t="s">
        <v>5</v>
      </c>
    </row>
    <row r="37" spans="1:3" x14ac:dyDescent="0.25">
      <c r="A37" s="2">
        <v>82</v>
      </c>
      <c r="B37" s="2" t="str">
        <f>_xlfn.XLOOKUP(Ativas_EMP_Manual_tabela[[#This Row],[ID]],Ativas_EMP_tabela[ID],Ativas_EMP_tabela[Razão social],"")</f>
        <v>ECS</v>
      </c>
      <c r="C37" s="2" t="s">
        <v>5</v>
      </c>
    </row>
    <row r="38" spans="1:3" x14ac:dyDescent="0.25">
      <c r="A38" s="2">
        <v>86</v>
      </c>
      <c r="B38" s="2" t="str">
        <f>_xlfn.XLOOKUP(Ativas_EMP_Manual_tabela[[#This Row],[ID]],Ativas_EMP_tabela[ID],Ativas_EMP_tabela[Razão social],"")</f>
        <v>MAUI</v>
      </c>
      <c r="C38" s="2" t="s">
        <v>5</v>
      </c>
    </row>
    <row r="39" spans="1:3" x14ac:dyDescent="0.25">
      <c r="A39" s="2">
        <v>91</v>
      </c>
      <c r="B39" s="2" t="str">
        <f>_xlfn.XLOOKUP(Ativas_EMP_Manual_tabela[[#This Row],[ID]],Ativas_EMP_tabela[ID],Ativas_EMP_tabela[Razão social],"")</f>
        <v>TRM ENG</v>
      </c>
      <c r="C39" s="2" t="s">
        <v>5</v>
      </c>
    </row>
    <row r="40" spans="1:3" x14ac:dyDescent="0.25">
      <c r="A40" s="2">
        <v>92</v>
      </c>
      <c r="B40" s="2" t="str">
        <f>_xlfn.XLOOKUP(Ativas_EMP_Manual_tabela[[#This Row],[ID]],Ativas_EMP_tabela[ID],Ativas_EMP_tabela[Razão social],"")</f>
        <v>KMC</v>
      </c>
      <c r="C40" s="2" t="s">
        <v>5</v>
      </c>
    </row>
    <row r="41" spans="1:3" x14ac:dyDescent="0.25">
      <c r="A41" s="2">
        <v>93</v>
      </c>
      <c r="B41" s="2" t="str">
        <f>_xlfn.XLOOKUP(Ativas_EMP_Manual_tabela[[#This Row],[ID]],Ativas_EMP_tabela[ID],Ativas_EMP_tabela[Razão social],"")</f>
        <v>ARABIS</v>
      </c>
      <c r="C41" s="2" t="s">
        <v>5</v>
      </c>
    </row>
    <row r="42" spans="1:3" x14ac:dyDescent="0.25">
      <c r="A42" s="2">
        <v>95</v>
      </c>
      <c r="B42" s="2" t="str">
        <f>_xlfn.XLOOKUP(Ativas_EMP_Manual_tabela[[#This Row],[ID]],Ativas_EMP_tabela[ID],Ativas_EMP_tabela[Razão social],"")</f>
        <v>JP ENG</v>
      </c>
      <c r="C42" s="2" t="s">
        <v>5</v>
      </c>
    </row>
    <row r="43" spans="1:3" x14ac:dyDescent="0.25">
      <c r="A43" s="2">
        <v>98</v>
      </c>
      <c r="B43" s="2" t="str">
        <f>_xlfn.XLOOKUP(Ativas_EMP_Manual_tabela[[#This Row],[ID]],Ativas_EMP_tabela[ID],Ativas_EMP_tabela[Razão social],"")</f>
        <v>GUISOFT</v>
      </c>
      <c r="C43" s="2" t="s">
        <v>5</v>
      </c>
    </row>
    <row r="44" spans="1:3" x14ac:dyDescent="0.25">
      <c r="A44" s="2">
        <v>102</v>
      </c>
      <c r="B44" s="2" t="str">
        <f>_xlfn.XLOOKUP(Ativas_EMP_Manual_tabela[[#This Row],[ID]],Ativas_EMP_tabela[ID],Ativas_EMP_tabela[Razão social],"")</f>
        <v>MV</v>
      </c>
      <c r="C44" s="2" t="s">
        <v>5</v>
      </c>
    </row>
    <row r="45" spans="1:3" x14ac:dyDescent="0.25">
      <c r="A45" s="2">
        <v>105</v>
      </c>
      <c r="B45" s="2" t="str">
        <f>_xlfn.XLOOKUP(Ativas_EMP_Manual_tabela[[#This Row],[ID]],Ativas_EMP_tabela[ID],Ativas_EMP_tabela[Razão social],"")</f>
        <v>CNC</v>
      </c>
      <c r="C45" s="2" t="s">
        <v>5</v>
      </c>
    </row>
    <row r="46" spans="1:3" x14ac:dyDescent="0.25">
      <c r="A46" s="2">
        <v>107</v>
      </c>
      <c r="B46" s="2" t="str">
        <f>_xlfn.XLOOKUP(Ativas_EMP_Manual_tabela[[#This Row],[ID]],Ativas_EMP_tabela[ID],Ativas_EMP_tabela[Razão social],"")</f>
        <v>HEDY</v>
      </c>
      <c r="C46" s="2" t="s">
        <v>5</v>
      </c>
    </row>
    <row r="47" spans="1:3" x14ac:dyDescent="0.25">
      <c r="A47" s="2">
        <v>111</v>
      </c>
      <c r="B47" s="2" t="str">
        <f>_xlfn.XLOOKUP(Ativas_EMP_Manual_tabela[[#This Row],[ID]],Ativas_EMP_tabela[ID],Ativas_EMP_tabela[Razão social],"")</f>
        <v>BM ENG</v>
      </c>
      <c r="C47" s="2" t="s">
        <v>5</v>
      </c>
    </row>
    <row r="48" spans="1:3" x14ac:dyDescent="0.25">
      <c r="A48" s="2">
        <v>112</v>
      </c>
      <c r="B48" s="2" t="str">
        <f>_xlfn.XLOOKUP(Ativas_EMP_Manual_tabela[[#This Row],[ID]],Ativas_EMP_tabela[ID],Ativas_EMP_tabela[Razão social],"")</f>
        <v>ATR</v>
      </c>
      <c r="C48" s="2" t="s">
        <v>5</v>
      </c>
    </row>
    <row r="49" spans="1:3" x14ac:dyDescent="0.25">
      <c r="A49" s="2">
        <v>114</v>
      </c>
      <c r="B49" s="2" t="str">
        <f>_xlfn.XLOOKUP(Ativas_EMP_Manual_tabela[[#This Row],[ID]],Ativas_EMP_tabela[ID],Ativas_EMP_tabela[Razão social],"")</f>
        <v>DAFF</v>
      </c>
      <c r="C49" s="2" t="s">
        <v>5</v>
      </c>
    </row>
    <row r="50" spans="1:3" x14ac:dyDescent="0.25">
      <c r="A50" s="2">
        <v>117</v>
      </c>
      <c r="B50" s="2" t="str">
        <f>_xlfn.XLOOKUP(Ativas_EMP_Manual_tabela[[#This Row],[ID]],Ativas_EMP_tabela[ID],Ativas_EMP_tabela[Razão social],"")</f>
        <v>IMI</v>
      </c>
      <c r="C50" s="2" t="s">
        <v>5</v>
      </c>
    </row>
    <row r="51" spans="1:3" x14ac:dyDescent="0.25">
      <c r="A51" s="2">
        <v>120</v>
      </c>
      <c r="B51" s="2" t="str">
        <f>_xlfn.XLOOKUP(Ativas_EMP_Manual_tabela[[#This Row],[ID]],Ativas_EMP_tabela[ID],Ativas_EMP_tabela[Razão social],"")</f>
        <v>SIMPLA</v>
      </c>
      <c r="C51" s="2" t="s">
        <v>5</v>
      </c>
    </row>
    <row r="52" spans="1:3" x14ac:dyDescent="0.25">
      <c r="A52" s="2">
        <v>122</v>
      </c>
      <c r="B52" s="2" t="str">
        <f>_xlfn.XLOOKUP(Ativas_EMP_Manual_tabela[[#This Row],[ID]],Ativas_EMP_tabela[ID],Ativas_EMP_tabela[Razão social],"")</f>
        <v>STAB</v>
      </c>
      <c r="C52" s="2" t="s">
        <v>5</v>
      </c>
    </row>
    <row r="53" spans="1:3" x14ac:dyDescent="0.25">
      <c r="A53" s="2">
        <v>123</v>
      </c>
      <c r="B53" s="2" t="str">
        <f>_xlfn.XLOOKUP(Ativas_EMP_Manual_tabela[[#This Row],[ID]],Ativas_EMP_tabela[ID],Ativas_EMP_tabela[Razão social],"")</f>
        <v>ACR</v>
      </c>
      <c r="C53" s="2" t="s">
        <v>5</v>
      </c>
    </row>
    <row r="54" spans="1:3" x14ac:dyDescent="0.25">
      <c r="A54" s="2">
        <v>124</v>
      </c>
      <c r="B54" s="2" t="str">
        <f>_xlfn.XLOOKUP(Ativas_EMP_Manual_tabela[[#This Row],[ID]],Ativas_EMP_tabela[ID],Ativas_EMP_tabela[Razão social],"")</f>
        <v>ADP PART</v>
      </c>
      <c r="C54" s="2" t="s">
        <v>5</v>
      </c>
    </row>
    <row r="55" spans="1:3" x14ac:dyDescent="0.25">
      <c r="A55" s="2">
        <v>125</v>
      </c>
      <c r="B55" s="2" t="str">
        <f>_xlfn.XLOOKUP(Ativas_EMP_Manual_tabela[[#This Row],[ID]],Ativas_EMP_tabela[ID],Ativas_EMP_tabela[Razão social],"")</f>
        <v>CE PART</v>
      </c>
      <c r="C55" s="2" t="s">
        <v>5</v>
      </c>
    </row>
    <row r="56" spans="1:3" x14ac:dyDescent="0.25">
      <c r="A56" s="2">
        <v>126</v>
      </c>
      <c r="B56" s="2" t="str">
        <f>_xlfn.XLOOKUP(Ativas_EMP_Manual_tabela[[#This Row],[ID]],Ativas_EMP_tabela[ID],Ativas_EMP_tabela[Razão social],"")</f>
        <v>ATTIVAR S</v>
      </c>
      <c r="C56" s="2" t="s">
        <v>5</v>
      </c>
    </row>
    <row r="57" spans="1:3" x14ac:dyDescent="0.25">
      <c r="A57" s="2">
        <v>127</v>
      </c>
      <c r="B57" s="2" t="str">
        <f>_xlfn.XLOOKUP(Ativas_EMP_Manual_tabela[[#This Row],[ID]],Ativas_EMP_tabela[ID],Ativas_EMP_tabela[Razão social],"")</f>
        <v>ATTIVAR U</v>
      </c>
      <c r="C57" s="2" t="s">
        <v>5</v>
      </c>
    </row>
    <row r="58" spans="1:3" x14ac:dyDescent="0.25">
      <c r="A58" s="2">
        <v>128</v>
      </c>
      <c r="B58" s="2" t="str">
        <f>_xlfn.XLOOKUP(Ativas_EMP_Manual_tabela[[#This Row],[ID]],Ativas_EMP_tabela[ID],Ativas_EMP_tabela[Razão social],"")</f>
        <v>LF</v>
      </c>
      <c r="C58" s="2" t="s">
        <v>5</v>
      </c>
    </row>
    <row r="59" spans="1:3" x14ac:dyDescent="0.25">
      <c r="A59" s="2">
        <v>129</v>
      </c>
      <c r="B59" s="2" t="str">
        <f>_xlfn.XLOOKUP(Ativas_EMP_Manual_tabela[[#This Row],[ID]],Ativas_EMP_tabela[ID],Ativas_EMP_tabela[Razão social],"")</f>
        <v>ETRAINER</v>
      </c>
      <c r="C59" s="2" t="s">
        <v>5</v>
      </c>
    </row>
    <row r="60" spans="1:3" x14ac:dyDescent="0.25">
      <c r="A60" s="2">
        <v>130</v>
      </c>
      <c r="B60" s="2" t="str">
        <f>_xlfn.XLOOKUP(Ativas_EMP_Manual_tabela[[#This Row],[ID]],Ativas_EMP_tabela[ID],Ativas_EMP_tabela[Razão social],"")</f>
        <v>MASSARI</v>
      </c>
      <c r="C60" s="2" t="s">
        <v>5</v>
      </c>
    </row>
    <row r="61" spans="1:3" x14ac:dyDescent="0.25">
      <c r="A61" s="2">
        <v>131</v>
      </c>
      <c r="B61" s="2" t="str">
        <f>_xlfn.XLOOKUP(Ativas_EMP_Manual_tabela[[#This Row],[ID]],Ativas_EMP_tabela[ID],Ativas_EMP_tabela[Razão social],"")</f>
        <v>CASCMONT</v>
      </c>
      <c r="C61" s="2" t="s">
        <v>5</v>
      </c>
    </row>
    <row r="62" spans="1:3" x14ac:dyDescent="0.25">
      <c r="A62" s="2">
        <v>134</v>
      </c>
      <c r="B62" s="2" t="str">
        <f>_xlfn.XLOOKUP(Ativas_EMP_Manual_tabela[[#This Row],[ID]],Ativas_EMP_tabela[ID],Ativas_EMP_tabela[Razão social],"")</f>
        <v>ENERTEK</v>
      </c>
      <c r="C62" s="2" t="s">
        <v>5</v>
      </c>
    </row>
    <row r="63" spans="1:3" x14ac:dyDescent="0.25">
      <c r="A63" s="2">
        <v>135</v>
      </c>
      <c r="B63" s="2" t="str">
        <f>_xlfn.XLOOKUP(Ativas_EMP_Manual_tabela[[#This Row],[ID]],Ativas_EMP_tabela[ID],Ativas_EMP_tabela[Razão social],"")</f>
        <v>ML ENG</v>
      </c>
      <c r="C63" s="2" t="s">
        <v>5</v>
      </c>
    </row>
    <row r="64" spans="1:3" x14ac:dyDescent="0.25">
      <c r="A64" s="2">
        <v>136</v>
      </c>
      <c r="B64" s="2" t="str">
        <f>_xlfn.XLOOKUP(Ativas_EMP_Manual_tabela[[#This Row],[ID]],Ativas_EMP_tabela[ID],Ativas_EMP_tabela[Razão social],"")</f>
        <v>RESUMIMOS</v>
      </c>
      <c r="C64" s="2" t="s">
        <v>5</v>
      </c>
    </row>
    <row r="65" spans="1:3" x14ac:dyDescent="0.25">
      <c r="A65" s="2">
        <v>137</v>
      </c>
      <c r="B65" s="2" t="str">
        <f>_xlfn.XLOOKUP(Ativas_EMP_Manual_tabela[[#This Row],[ID]],Ativas_EMP_tabela[ID],Ativas_EMP_tabela[Razão social],"")</f>
        <v>BUEGUIM</v>
      </c>
      <c r="C65" s="2" t="s">
        <v>5</v>
      </c>
    </row>
    <row r="66" spans="1:3" x14ac:dyDescent="0.25">
      <c r="A66" s="2">
        <v>138</v>
      </c>
      <c r="B66" s="2" t="str">
        <f>_xlfn.XLOOKUP(Ativas_EMP_Manual_tabela[[#This Row],[ID]],Ativas_EMP_tabela[ID],Ativas_EMP_tabela[Razão social],"")</f>
        <v>BERNARDES ADV</v>
      </c>
      <c r="C66" s="2" t="s">
        <v>5</v>
      </c>
    </row>
    <row r="67" spans="1:3" x14ac:dyDescent="0.25">
      <c r="A67" s="2">
        <v>139</v>
      </c>
      <c r="B67" s="2" t="str">
        <f>_xlfn.XLOOKUP(Ativas_EMP_Manual_tabela[[#This Row],[ID]],Ativas_EMP_tabela[ID],Ativas_EMP_tabela[Razão social],"")</f>
        <v>BRESEGHELLO</v>
      </c>
      <c r="C67" s="2" t="s">
        <v>5</v>
      </c>
    </row>
    <row r="68" spans="1:3" x14ac:dyDescent="0.25">
      <c r="A68" s="2">
        <v>141</v>
      </c>
      <c r="B68" s="2" t="str">
        <f>_xlfn.XLOOKUP(Ativas_EMP_Manual_tabela[[#This Row],[ID]],Ativas_EMP_tabela[ID],Ativas_EMP_tabela[Razão social],"")</f>
        <v>MOLINARI</v>
      </c>
      <c r="C68" s="2" t="s">
        <v>5</v>
      </c>
    </row>
    <row r="69" spans="1:3" x14ac:dyDescent="0.25">
      <c r="A69" s="2">
        <v>142</v>
      </c>
      <c r="B69" s="2" t="str">
        <f>_xlfn.XLOOKUP(Ativas_EMP_Manual_tabela[[#This Row],[ID]],Ativas_EMP_tabela[ID],Ativas_EMP_tabela[Razão social],"")</f>
        <v>CARVALHO</v>
      </c>
      <c r="C69" s="2" t="s">
        <v>5</v>
      </c>
    </row>
    <row r="70" spans="1:3" x14ac:dyDescent="0.25">
      <c r="A70" s="2">
        <v>143</v>
      </c>
      <c r="B70" s="2" t="str">
        <f>_xlfn.XLOOKUP(Ativas_EMP_Manual_tabela[[#This Row],[ID]],Ativas_EMP_tabela[ID],Ativas_EMP_tabela[Razão social],"")</f>
        <v>FERREIRA</v>
      </c>
      <c r="C70" s="2" t="s">
        <v>5</v>
      </c>
    </row>
    <row r="71" spans="1:3" x14ac:dyDescent="0.25">
      <c r="A71" s="2">
        <v>144</v>
      </c>
      <c r="B71" s="2" t="str">
        <f>_xlfn.XLOOKUP(Ativas_EMP_Manual_tabela[[#This Row],[ID]],Ativas_EMP_tabela[ID],Ativas_EMP_tabela[Razão social],"")</f>
        <v>GUIMARAES</v>
      </c>
      <c r="C71" s="2" t="s">
        <v>5</v>
      </c>
    </row>
    <row r="72" spans="1:3" x14ac:dyDescent="0.25">
      <c r="A72" s="2">
        <v>145</v>
      </c>
      <c r="B72" s="2" t="str">
        <f>_xlfn.XLOOKUP(Ativas_EMP_Manual_tabela[[#This Row],[ID]],Ativas_EMP_tabela[ID],Ativas_EMP_tabela[Razão social],"")</f>
        <v>GADHR</v>
      </c>
      <c r="C72" s="2" t="s">
        <v>5</v>
      </c>
    </row>
    <row r="73" spans="1:3" x14ac:dyDescent="0.25">
      <c r="A73" s="2">
        <v>146</v>
      </c>
      <c r="B73" s="2" t="str">
        <f>_xlfn.XLOOKUP(Ativas_EMP_Manual_tabela[[#This Row],[ID]],Ativas_EMP_tabela[ID],Ativas_EMP_tabela[Razão social],"")</f>
        <v>ACM</v>
      </c>
      <c r="C73" s="2" t="s">
        <v>5</v>
      </c>
    </row>
    <row r="74" spans="1:3" x14ac:dyDescent="0.25">
      <c r="A74" s="2">
        <v>147</v>
      </c>
      <c r="B74" s="2" t="str">
        <f>_xlfn.XLOOKUP(Ativas_EMP_Manual_tabela[[#This Row],[ID]],Ativas_EMP_tabela[ID],Ativas_EMP_tabela[Razão social],"")</f>
        <v>PL</v>
      </c>
      <c r="C74" s="2" t="s">
        <v>5</v>
      </c>
    </row>
    <row r="75" spans="1:3" x14ac:dyDescent="0.25">
      <c r="A75" s="2">
        <v>148</v>
      </c>
      <c r="B75" s="2" t="str">
        <f>_xlfn.XLOOKUP(Ativas_EMP_Manual_tabela[[#This Row],[ID]],Ativas_EMP_tabela[ID],Ativas_EMP_tabela[Razão social],"")</f>
        <v>WBIO</v>
      </c>
      <c r="C75" s="2" t="s">
        <v>5</v>
      </c>
    </row>
    <row r="76" spans="1:3" x14ac:dyDescent="0.25">
      <c r="A76" s="2">
        <v>149</v>
      </c>
      <c r="B76" s="2" t="str">
        <f>_xlfn.XLOOKUP(Ativas_EMP_Manual_tabela[[#This Row],[ID]],Ativas_EMP_tabela[ID],Ativas_EMP_tabela[Razão social],"")</f>
        <v>SABE</v>
      </c>
      <c r="C76" s="2" t="s">
        <v>5</v>
      </c>
    </row>
    <row r="77" spans="1:3" x14ac:dyDescent="0.25">
      <c r="A77" s="2">
        <v>150</v>
      </c>
      <c r="B77" s="2" t="str">
        <f>_xlfn.XLOOKUP(Ativas_EMP_Manual_tabela[[#This Row],[ID]],Ativas_EMP_tabela[ID],Ativas_EMP_tabela[Razão social],"")</f>
        <v>FERNANDO</v>
      </c>
      <c r="C77" s="2" t="s">
        <v>5</v>
      </c>
    </row>
    <row r="78" spans="1:3" x14ac:dyDescent="0.25">
      <c r="A78" s="2">
        <v>152</v>
      </c>
      <c r="B78" s="2" t="str">
        <f>_xlfn.XLOOKUP(Ativas_EMP_Manual_tabela[[#This Row],[ID]],Ativas_EMP_tabela[ID],Ativas_EMP_tabela[Razão social],"")</f>
        <v>RJ ENG</v>
      </c>
      <c r="C78" s="2" t="s">
        <v>5</v>
      </c>
    </row>
    <row r="79" spans="1:3" x14ac:dyDescent="0.25">
      <c r="A79" s="2">
        <v>153</v>
      </c>
      <c r="B79" s="2" t="str">
        <f>_xlfn.XLOOKUP(Ativas_EMP_Manual_tabela[[#This Row],[ID]],Ativas_EMP_tabela[ID],Ativas_EMP_tabela[Razão social],"")</f>
        <v>BERNARDES</v>
      </c>
      <c r="C79" s="2" t="s">
        <v>5</v>
      </c>
    </row>
    <row r="80" spans="1:3" x14ac:dyDescent="0.25">
      <c r="A80" s="2">
        <v>154</v>
      </c>
      <c r="B80" s="2" t="str">
        <f>_xlfn.XLOOKUP(Ativas_EMP_Manual_tabela[[#This Row],[ID]],Ativas_EMP_tabela[ID],Ativas_EMP_tabela[Razão social],"")</f>
        <v>BLACK BERNARDES</v>
      </c>
      <c r="C80" s="2" t="s">
        <v>5</v>
      </c>
    </row>
    <row r="81" spans="1:3" x14ac:dyDescent="0.25">
      <c r="A81" s="2">
        <v>155</v>
      </c>
      <c r="B81" s="2" t="str">
        <f>_xlfn.XLOOKUP(Ativas_EMP_Manual_tabela[[#This Row],[ID]],Ativas_EMP_tabela[ID],Ativas_EMP_tabela[Razão social],"")</f>
        <v>IGNITE</v>
      </c>
      <c r="C81" s="2" t="s">
        <v>5</v>
      </c>
    </row>
    <row r="82" spans="1:3" x14ac:dyDescent="0.25">
      <c r="A82" s="2">
        <v>156</v>
      </c>
      <c r="B82" s="2" t="str">
        <f>_xlfn.XLOOKUP(Ativas_EMP_Manual_tabela[[#This Row],[ID]],Ativas_EMP_tabela[ID],Ativas_EMP_tabela[Razão social],"")</f>
        <v>CEMAF OPE</v>
      </c>
      <c r="C82" s="2" t="s">
        <v>5</v>
      </c>
    </row>
    <row r="83" spans="1:3" x14ac:dyDescent="0.25">
      <c r="A83" s="2">
        <v>157</v>
      </c>
      <c r="B83" s="2" t="str">
        <f>_xlfn.XLOOKUP(Ativas_EMP_Manual_tabela[[#This Row],[ID]],Ativas_EMP_tabela[ID],Ativas_EMP_tabela[Razão social],"")</f>
        <v>CEMAF PART</v>
      </c>
      <c r="C83" s="2" t="s">
        <v>5</v>
      </c>
    </row>
    <row r="84" spans="1:3" x14ac:dyDescent="0.25">
      <c r="A84" s="2">
        <v>160</v>
      </c>
      <c r="B84" s="2" t="str">
        <f>_xlfn.XLOOKUP(Ativas_EMP_Manual_tabela[[#This Row],[ID]],Ativas_EMP_tabela[ID],Ativas_EMP_tabela[Razão social],"")</f>
        <v>AMPARO</v>
      </c>
      <c r="C84" s="2" t="s">
        <v>5</v>
      </c>
    </row>
    <row r="85" spans="1:3" x14ac:dyDescent="0.25">
      <c r="A85" s="2">
        <v>161</v>
      </c>
      <c r="B85" s="2" t="str">
        <f>_xlfn.XLOOKUP(Ativas_EMP_Manual_tabela[[#This Row],[ID]],Ativas_EMP_tabela[ID],Ativas_EMP_tabela[Razão social],"")</f>
        <v>TAVEIRA</v>
      </c>
      <c r="C85" s="2" t="s">
        <v>5</v>
      </c>
    </row>
    <row r="86" spans="1:3" x14ac:dyDescent="0.25">
      <c r="A86" s="2">
        <v>162</v>
      </c>
      <c r="B86" s="2" t="str">
        <f>_xlfn.XLOOKUP(Ativas_EMP_Manual_tabela[[#This Row],[ID]],Ativas_EMP_tabela[ID],Ativas_EMP_tabela[Razão social],"")</f>
        <v>GSERV</v>
      </c>
      <c r="C86" s="2" t="s">
        <v>5</v>
      </c>
    </row>
    <row r="87" spans="1:3" x14ac:dyDescent="0.25">
      <c r="A87" s="2">
        <v>166</v>
      </c>
      <c r="B87" s="2" t="str">
        <f>_xlfn.XLOOKUP(Ativas_EMP_Manual_tabela[[#This Row],[ID]],Ativas_EMP_tabela[ID],Ativas_EMP_tabela[Razão social],"")</f>
        <v>RMP</v>
      </c>
      <c r="C87" s="2" t="s">
        <v>5</v>
      </c>
    </row>
    <row r="88" spans="1:3" x14ac:dyDescent="0.25">
      <c r="A88" s="2">
        <v>167</v>
      </c>
      <c r="B88" s="2" t="str">
        <f>_xlfn.XLOOKUP(Ativas_EMP_Manual_tabela[[#This Row],[ID]],Ativas_EMP_tabela[ID],Ativas_EMP_tabela[Razão social],"")</f>
        <v>ZORZIN</v>
      </c>
      <c r="C88" s="2" t="s">
        <v>5</v>
      </c>
    </row>
    <row r="89" spans="1:3" x14ac:dyDescent="0.25">
      <c r="A89" s="2">
        <v>168</v>
      </c>
      <c r="B89" s="2" t="str">
        <f>_xlfn.XLOOKUP(Ativas_EMP_Manual_tabela[[#This Row],[ID]],Ativas_EMP_tabela[ID],Ativas_EMP_tabela[Razão social],"")</f>
        <v>LSR</v>
      </c>
      <c r="C89" s="2" t="s">
        <v>5</v>
      </c>
    </row>
    <row r="90" spans="1:3" x14ac:dyDescent="0.25">
      <c r="A90" s="2">
        <v>169</v>
      </c>
      <c r="B90" s="2" t="str">
        <f>_xlfn.XLOOKUP(Ativas_EMP_Manual_tabela[[#This Row],[ID]],Ativas_EMP_tabela[ID],Ativas_EMP_tabela[Razão social],"")</f>
        <v>SUASSUNA</v>
      </c>
      <c r="C90" s="2" t="s">
        <v>5</v>
      </c>
    </row>
    <row r="91" spans="1:3" x14ac:dyDescent="0.25">
      <c r="A91" s="2">
        <v>170</v>
      </c>
      <c r="B91" s="2" t="str">
        <f>_xlfn.XLOOKUP(Ativas_EMP_Manual_tabela[[#This Row],[ID]],Ativas_EMP_tabela[ID],Ativas_EMP_tabela[Razão social],"")</f>
        <v/>
      </c>
      <c r="C91" s="2" t="s">
        <v>335</v>
      </c>
    </row>
    <row r="92" spans="1:3" x14ac:dyDescent="0.25">
      <c r="A92" s="2">
        <v>173</v>
      </c>
      <c r="B92" s="2" t="str">
        <f>_xlfn.XLOOKUP(Ativas_EMP_Manual_tabela[[#This Row],[ID]],Ativas_EMP_tabela[ID],Ativas_EMP_tabela[Razão social],"")</f>
        <v>TSA</v>
      </c>
      <c r="C92" s="2" t="s">
        <v>5</v>
      </c>
    </row>
    <row r="93" spans="1:3" x14ac:dyDescent="0.25">
      <c r="A93" s="2">
        <v>174</v>
      </c>
      <c r="B93" s="2" t="str">
        <f>_xlfn.XLOOKUP(Ativas_EMP_Manual_tabela[[#This Row],[ID]],Ativas_EMP_tabela[ID],Ativas_EMP_tabela[Razão social],"")</f>
        <v>ARTE</v>
      </c>
      <c r="C93" s="2" t="s">
        <v>5</v>
      </c>
    </row>
    <row r="94" spans="1:3" x14ac:dyDescent="0.25">
      <c r="A94" s="2">
        <v>175</v>
      </c>
      <c r="B94" s="2" t="str">
        <f>_xlfn.XLOOKUP(Ativas_EMP_Manual_tabela[[#This Row],[ID]],Ativas_EMP_tabela[ID],Ativas_EMP_tabela[Razão social],"")</f>
        <v>PRIME</v>
      </c>
      <c r="C94" s="2" t="s">
        <v>5</v>
      </c>
    </row>
    <row r="95" spans="1:3" x14ac:dyDescent="0.25">
      <c r="A95" s="2">
        <v>182</v>
      </c>
      <c r="B95" s="2" t="str">
        <f>_xlfn.XLOOKUP(Ativas_EMP_Manual_tabela[[#This Row],[ID]],Ativas_EMP_tabela[ID],Ativas_EMP_tabela[Razão social],"")</f>
        <v>JD</v>
      </c>
      <c r="C95" s="2" t="s">
        <v>5</v>
      </c>
    </row>
    <row r="96" spans="1:3" x14ac:dyDescent="0.25">
      <c r="A96" s="2">
        <v>184</v>
      </c>
      <c r="B96" s="2" t="str">
        <f>_xlfn.XLOOKUP(Ativas_EMP_Manual_tabela[[#This Row],[ID]],Ativas_EMP_tabela[ID],Ativas_EMP_tabela[Razão social],"")</f>
        <v/>
      </c>
      <c r="C96" s="2" t="s">
        <v>335</v>
      </c>
    </row>
    <row r="97" spans="1:3" x14ac:dyDescent="0.25">
      <c r="A97" s="2">
        <v>185</v>
      </c>
      <c r="B97" s="2" t="str">
        <f>_xlfn.XLOOKUP(Ativas_EMP_Manual_tabela[[#This Row],[ID]],Ativas_EMP_tabela[ID],Ativas_EMP_tabela[Razão social],"")</f>
        <v>PORTO</v>
      </c>
      <c r="C97" s="2" t="s">
        <v>5</v>
      </c>
    </row>
    <row r="98" spans="1:3" x14ac:dyDescent="0.25">
      <c r="A98" s="2">
        <v>186</v>
      </c>
      <c r="B98" s="2" t="str">
        <f>_xlfn.XLOOKUP(Ativas_EMP_Manual_tabela[[#This Row],[ID]],Ativas_EMP_tabela[ID],Ativas_EMP_tabela[Razão social],"")</f>
        <v>WF ENG</v>
      </c>
      <c r="C98" s="2" t="s">
        <v>5</v>
      </c>
    </row>
    <row r="99" spans="1:3" x14ac:dyDescent="0.25">
      <c r="A99" s="2">
        <v>187</v>
      </c>
      <c r="B99" s="2" t="str">
        <f>_xlfn.XLOOKUP(Ativas_EMP_Manual_tabela[[#This Row],[ID]],Ativas_EMP_tabela[ID],Ativas_EMP_tabela[Razão social],"")</f>
        <v>DHAKA</v>
      </c>
      <c r="C99" s="2" t="s">
        <v>5</v>
      </c>
    </row>
    <row r="100" spans="1:3" x14ac:dyDescent="0.25">
      <c r="A100" s="2">
        <v>188</v>
      </c>
      <c r="B100" s="2" t="str">
        <f>_xlfn.XLOOKUP(Ativas_EMP_Manual_tabela[[#This Row],[ID]],Ativas_EMP_tabela[ID],Ativas_EMP_tabela[Razão social],"")</f>
        <v>ALE</v>
      </c>
      <c r="C100" s="2" t="s">
        <v>5</v>
      </c>
    </row>
    <row r="101" spans="1:3" x14ac:dyDescent="0.25">
      <c r="A101" s="2">
        <v>189</v>
      </c>
      <c r="B101" s="2" t="str">
        <f>_xlfn.XLOOKUP(Ativas_EMP_Manual_tabela[[#This Row],[ID]],Ativas_EMP_tabela[ID],Ativas_EMP_tabela[Razão social],"")</f>
        <v>AG</v>
      </c>
      <c r="C101" s="2" t="s">
        <v>5</v>
      </c>
    </row>
    <row r="102" spans="1:3" x14ac:dyDescent="0.25">
      <c r="A102" s="2">
        <v>190</v>
      </c>
      <c r="B102" s="2" t="str">
        <f>_xlfn.XLOOKUP(Ativas_EMP_Manual_tabela[[#This Row],[ID]],Ativas_EMP_tabela[ID],Ativas_EMP_tabela[Razão social],"")</f>
        <v>WFORTE</v>
      </c>
      <c r="C102" s="2" t="s">
        <v>5</v>
      </c>
    </row>
    <row r="103" spans="1:3" x14ac:dyDescent="0.25">
      <c r="A103" s="2">
        <v>191</v>
      </c>
      <c r="B103" s="2" t="str">
        <f>_xlfn.XLOOKUP(Ativas_EMP_Manual_tabela[[#This Row],[ID]],Ativas_EMP_tabela[ID],Ativas_EMP_tabela[Razão social],"")</f>
        <v>CASTANHEIRA</v>
      </c>
      <c r="C103" s="2" t="s">
        <v>5</v>
      </c>
    </row>
    <row r="104" spans="1:3" x14ac:dyDescent="0.25">
      <c r="A104" s="2">
        <v>192</v>
      </c>
      <c r="B104" s="2" t="str">
        <f>_xlfn.XLOOKUP(Ativas_EMP_Manual_tabela[[#This Row],[ID]],Ativas_EMP_tabela[ID],Ativas_EMP_tabela[Razão social],"")</f>
        <v>BORBA</v>
      </c>
      <c r="C104" s="2" t="s">
        <v>5</v>
      </c>
    </row>
    <row r="105" spans="1:3" x14ac:dyDescent="0.25">
      <c r="A105" s="2">
        <v>193</v>
      </c>
      <c r="B105" s="2" t="str">
        <f>_xlfn.XLOOKUP(Ativas_EMP_Manual_tabela[[#This Row],[ID]],Ativas_EMP_tabela[ID],Ativas_EMP_tabela[Razão social],"")</f>
        <v>KRM</v>
      </c>
      <c r="C105" s="2" t="s">
        <v>5</v>
      </c>
    </row>
    <row r="106" spans="1:3" x14ac:dyDescent="0.25">
      <c r="A106" s="2">
        <v>194</v>
      </c>
      <c r="B106" s="2" t="str">
        <f>_xlfn.XLOOKUP(Ativas_EMP_Manual_tabela[[#This Row],[ID]],Ativas_EMP_tabela[ID],Ativas_EMP_tabela[Razão social],"")</f>
        <v>RK</v>
      </c>
      <c r="C106" s="2" t="s">
        <v>5</v>
      </c>
    </row>
    <row r="107" spans="1:3" x14ac:dyDescent="0.25">
      <c r="A107" s="2">
        <v>195</v>
      </c>
      <c r="B107" s="2" t="str">
        <f>_xlfn.XLOOKUP(Ativas_EMP_Manual_tabela[[#This Row],[ID]],Ativas_EMP_tabela[ID],Ativas_EMP_tabela[Razão social],"")</f>
        <v>OSCMM</v>
      </c>
      <c r="C107" s="2" t="s">
        <v>5</v>
      </c>
    </row>
    <row r="108" spans="1:3" x14ac:dyDescent="0.25">
      <c r="A108" s="2">
        <v>196</v>
      </c>
      <c r="B108" s="2" t="str">
        <f>_xlfn.XLOOKUP(Ativas_EMP_Manual_tabela[[#This Row],[ID]],Ativas_EMP_tabela[ID],Ativas_EMP_tabela[Razão social],"")</f>
        <v>BRITO</v>
      </c>
      <c r="C108" s="2" t="s">
        <v>5</v>
      </c>
    </row>
    <row r="109" spans="1:3" x14ac:dyDescent="0.25">
      <c r="A109" s="2">
        <v>197</v>
      </c>
      <c r="B109" s="2" t="str">
        <f>_xlfn.XLOOKUP(Ativas_EMP_Manual_tabela[[#This Row],[ID]],Ativas_EMP_tabela[ID],Ativas_EMP_tabela[Razão social],"")</f>
        <v>TIBRE</v>
      </c>
      <c r="C109" s="2" t="s">
        <v>5</v>
      </c>
    </row>
    <row r="110" spans="1:3" x14ac:dyDescent="0.25">
      <c r="A110" s="2">
        <v>198</v>
      </c>
      <c r="B110" s="2" t="str">
        <f>_xlfn.XLOOKUP(Ativas_EMP_Manual_tabela[[#This Row],[ID]],Ativas_EMP_tabela[ID],Ativas_EMP_tabela[Razão social],"")</f>
        <v>MASTERGEST</v>
      </c>
      <c r="C110" s="2" t="s">
        <v>5</v>
      </c>
    </row>
    <row r="111" spans="1:3" x14ac:dyDescent="0.25">
      <c r="A111" s="2">
        <v>199</v>
      </c>
      <c r="B111" s="2" t="str">
        <f>_xlfn.XLOOKUP(Ativas_EMP_Manual_tabela[[#This Row],[ID]],Ativas_EMP_tabela[ID],Ativas_EMP_tabela[Razão social],"")</f>
        <v>PRAXIS</v>
      </c>
      <c r="C111" s="2" t="s">
        <v>5</v>
      </c>
    </row>
    <row r="112" spans="1:3" x14ac:dyDescent="0.25">
      <c r="A112" s="2">
        <v>200</v>
      </c>
      <c r="B112" s="2" t="str">
        <f>_xlfn.XLOOKUP(Ativas_EMP_Manual_tabela[[#This Row],[ID]],Ativas_EMP_tabela[ID],Ativas_EMP_tabela[Razão social],"")</f>
        <v>TXC ITURAMA</v>
      </c>
      <c r="C112" s="2" t="s">
        <v>5</v>
      </c>
    </row>
    <row r="113" spans="1:3" x14ac:dyDescent="0.25">
      <c r="A113" s="2">
        <v>203</v>
      </c>
      <c r="B113" s="2" t="str">
        <f>_xlfn.XLOOKUP(Ativas_EMP_Manual_tabela[[#This Row],[ID]],Ativas_EMP_tabela[ID],Ativas_EMP_tabela[Razão social],"")</f>
        <v/>
      </c>
      <c r="C113" s="2" t="s">
        <v>335</v>
      </c>
    </row>
    <row r="114" spans="1:3" x14ac:dyDescent="0.25">
      <c r="A114" s="2">
        <v>206</v>
      </c>
      <c r="B114" s="2" t="str">
        <f>_xlfn.XLOOKUP(Ativas_EMP_Manual_tabela[[#This Row],[ID]],Ativas_EMP_tabela[ID],Ativas_EMP_tabela[Razão social],"")</f>
        <v/>
      </c>
      <c r="C114" s="2" t="s">
        <v>335</v>
      </c>
    </row>
    <row r="115" spans="1:3" x14ac:dyDescent="0.25">
      <c r="A115" s="2">
        <v>207</v>
      </c>
      <c r="B115" s="2" t="str">
        <f>_xlfn.XLOOKUP(Ativas_EMP_Manual_tabela[[#This Row],[ID]],Ativas_EMP_tabela[ID],Ativas_EMP_tabela[Razão social],"")</f>
        <v/>
      </c>
      <c r="C115" s="2" t="s">
        <v>335</v>
      </c>
    </row>
    <row r="116" spans="1:3" x14ac:dyDescent="0.25">
      <c r="A116" s="2">
        <v>208</v>
      </c>
      <c r="B116" s="2" t="str">
        <f>_xlfn.XLOOKUP(Ativas_EMP_Manual_tabela[[#This Row],[ID]],Ativas_EMP_tabela[ID],Ativas_EMP_tabela[Razão social],"")</f>
        <v>ARAGUAINA</v>
      </c>
      <c r="C116" s="2" t="s">
        <v>5</v>
      </c>
    </row>
    <row r="117" spans="1:3" x14ac:dyDescent="0.25">
      <c r="A117" s="2">
        <v>211</v>
      </c>
      <c r="B117" s="2" t="str">
        <f>_xlfn.XLOOKUP(Ativas_EMP_Manual_tabela[[#This Row],[ID]],Ativas_EMP_tabela[ID],Ativas_EMP_tabela[Razão social],"")</f>
        <v>TXC BAURU</v>
      </c>
      <c r="C117" s="2" t="s">
        <v>5</v>
      </c>
    </row>
    <row r="118" spans="1:3" x14ac:dyDescent="0.25">
      <c r="A118" s="2">
        <v>212</v>
      </c>
      <c r="B118" s="2" t="str">
        <f>_xlfn.XLOOKUP(Ativas_EMP_Manual_tabela[[#This Row],[ID]],Ativas_EMP_tabela[ID],Ativas_EMP_tabela[Razão social],"")</f>
        <v/>
      </c>
      <c r="C118" s="2" t="s">
        <v>335</v>
      </c>
    </row>
    <row r="119" spans="1:3" x14ac:dyDescent="0.25">
      <c r="A119" s="2">
        <v>213</v>
      </c>
      <c r="B119" s="2" t="str">
        <f>_xlfn.XLOOKUP(Ativas_EMP_Manual_tabela[[#This Row],[ID]],Ativas_EMP_tabela[ID],Ativas_EMP_tabela[Razão social],"")</f>
        <v>BALSAS</v>
      </c>
      <c r="C119" s="2" t="s">
        <v>5</v>
      </c>
    </row>
    <row r="120" spans="1:3" x14ac:dyDescent="0.25">
      <c r="A120" s="2">
        <v>215</v>
      </c>
      <c r="B120" s="2" t="str">
        <f>_xlfn.XLOOKUP(Ativas_EMP_Manual_tabela[[#This Row],[ID]],Ativas_EMP_tabela[ID],Ativas_EMP_tabela[Razão social],"")</f>
        <v>TXC SORRISO</v>
      </c>
      <c r="C120" s="2" t="s">
        <v>5</v>
      </c>
    </row>
    <row r="121" spans="1:3" x14ac:dyDescent="0.25">
      <c r="A121" s="2">
        <v>217</v>
      </c>
      <c r="B121" s="2" t="str">
        <f>_xlfn.XLOOKUP(Ativas_EMP_Manual_tabela[[#This Row],[ID]],Ativas_EMP_tabela[ID],Ativas_EMP_tabela[Razão social],"")</f>
        <v/>
      </c>
      <c r="C121" s="2" t="s">
        <v>335</v>
      </c>
    </row>
    <row r="122" spans="1:3" x14ac:dyDescent="0.25">
      <c r="A122" s="2">
        <v>218</v>
      </c>
      <c r="B122" s="2" t="str">
        <f>_xlfn.XLOOKUP(Ativas_EMP_Manual_tabela[[#This Row],[ID]],Ativas_EMP_tabela[ID],Ativas_EMP_tabela[Razão social],"")</f>
        <v>TXC ALTAMIRA</v>
      </c>
      <c r="C122" s="2" t="s">
        <v>5</v>
      </c>
    </row>
    <row r="123" spans="1:3" x14ac:dyDescent="0.25">
      <c r="A123" s="2">
        <v>223</v>
      </c>
      <c r="B123" s="2" t="str">
        <f>_xlfn.XLOOKUP(Ativas_EMP_Manual_tabela[[#This Row],[ID]],Ativas_EMP_tabela[ID],Ativas_EMP_tabela[Razão social],"")</f>
        <v>TXC LUCAS</v>
      </c>
      <c r="C123" s="2" t="s">
        <v>5</v>
      </c>
    </row>
    <row r="124" spans="1:3" x14ac:dyDescent="0.25">
      <c r="A124" s="2">
        <v>224</v>
      </c>
      <c r="B124" s="2" t="str">
        <f>_xlfn.XLOOKUP(Ativas_EMP_Manual_tabela[[#This Row],[ID]],Ativas_EMP_tabela[ID],Ativas_EMP_tabela[Razão social],"")</f>
        <v>TXC MARABA</v>
      </c>
      <c r="C124" s="2" t="s">
        <v>5</v>
      </c>
    </row>
    <row r="125" spans="1:3" x14ac:dyDescent="0.25">
      <c r="A125" s="2">
        <v>300</v>
      </c>
      <c r="B125" s="2" t="str">
        <f>_xlfn.XLOOKUP(Ativas_EMP_Manual_tabela[[#This Row],[ID]],Ativas_EMP_tabela[ID],Ativas_EMP_tabela[Razão social],"")</f>
        <v>PELEGRINES</v>
      </c>
      <c r="C125" s="2" t="s">
        <v>5</v>
      </c>
    </row>
    <row r="126" spans="1:3" x14ac:dyDescent="0.25">
      <c r="A126" s="2">
        <v>302</v>
      </c>
      <c r="B126" s="2" t="str">
        <f>_xlfn.XLOOKUP(Ativas_EMP_Manual_tabela[[#This Row],[ID]],Ativas_EMP_tabela[ID],Ativas_EMP_tabela[Razão social],"")</f>
        <v>IFA</v>
      </c>
      <c r="C126" s="2" t="s">
        <v>5</v>
      </c>
    </row>
    <row r="127" spans="1:3" x14ac:dyDescent="0.25">
      <c r="A127" s="2">
        <v>303</v>
      </c>
      <c r="B127" s="2" t="str">
        <f>_xlfn.XLOOKUP(Ativas_EMP_Manual_tabela[[#This Row],[ID]],Ativas_EMP_tabela[ID],Ativas_EMP_tabela[Razão social],"")</f>
        <v>TEMPLARS</v>
      </c>
      <c r="C127" s="2" t="s">
        <v>5</v>
      </c>
    </row>
    <row r="128" spans="1:3" x14ac:dyDescent="0.25">
      <c r="A128" s="2">
        <v>304</v>
      </c>
      <c r="B128" s="2" t="str">
        <f>_xlfn.XLOOKUP(Ativas_EMP_Manual_tabela[[#This Row],[ID]],Ativas_EMP_tabela[ID],Ativas_EMP_tabela[Razão social],"")</f>
        <v>HMB</v>
      </c>
      <c r="C128" s="2" t="s">
        <v>5</v>
      </c>
    </row>
    <row r="129" spans="1:3" x14ac:dyDescent="0.25">
      <c r="A129" s="2">
        <v>305</v>
      </c>
      <c r="B129" s="2" t="str">
        <f>_xlfn.XLOOKUP(Ativas_EMP_Manual_tabela[[#This Row],[ID]],Ativas_EMP_tabela[ID],Ativas_EMP_tabela[Razão social],"")</f>
        <v>VITORINOS</v>
      </c>
      <c r="C129" s="2" t="s">
        <v>5</v>
      </c>
    </row>
    <row r="130" spans="1:3" x14ac:dyDescent="0.25">
      <c r="A130" s="2">
        <v>306</v>
      </c>
      <c r="B130" s="2" t="str">
        <f>_xlfn.XLOOKUP(Ativas_EMP_Manual_tabela[[#This Row],[ID]],Ativas_EMP_tabela[ID],Ativas_EMP_tabela[Razão social],"")</f>
        <v>BENEVIDES</v>
      </c>
      <c r="C130" s="2" t="s">
        <v>5</v>
      </c>
    </row>
    <row r="131" spans="1:3" x14ac:dyDescent="0.25">
      <c r="A131" s="2">
        <v>307</v>
      </c>
      <c r="B131" s="2" t="str">
        <f>_xlfn.XLOOKUP(Ativas_EMP_Manual_tabela[[#This Row],[ID]],Ativas_EMP_tabela[ID],Ativas_EMP_tabela[Razão social],"")</f>
        <v>RPS</v>
      </c>
      <c r="C131" s="2" t="s">
        <v>5</v>
      </c>
    </row>
    <row r="132" spans="1:3" x14ac:dyDescent="0.25">
      <c r="A132" s="2">
        <v>308</v>
      </c>
      <c r="B132" s="2" t="str">
        <f>_xlfn.XLOOKUP(Ativas_EMP_Manual_tabela[[#This Row],[ID]],Ativas_EMP_tabela[ID],Ativas_EMP_tabela[Razão social],"")</f>
        <v>IRON</v>
      </c>
      <c r="C132" s="2" t="s">
        <v>5</v>
      </c>
    </row>
    <row r="133" spans="1:3" x14ac:dyDescent="0.25">
      <c r="A133" s="2">
        <v>309</v>
      </c>
      <c r="B133" s="2" t="str">
        <f>_xlfn.XLOOKUP(Ativas_EMP_Manual_tabela[[#This Row],[ID]],Ativas_EMP_tabela[ID],Ativas_EMP_tabela[Razão social],"")</f>
        <v>PURE</v>
      </c>
      <c r="C133" s="2" t="s">
        <v>5</v>
      </c>
    </row>
    <row r="134" spans="1:3" x14ac:dyDescent="0.25">
      <c r="A134" s="2">
        <v>310</v>
      </c>
      <c r="B134" s="2" t="str">
        <f>_xlfn.XLOOKUP(Ativas_EMP_Manual_tabela[[#This Row],[ID]],Ativas_EMP_tabela[ID],Ativas_EMP_tabela[Razão social],"")</f>
        <v>GR</v>
      </c>
      <c r="C134" s="2" t="s">
        <v>5</v>
      </c>
    </row>
    <row r="135" spans="1:3" x14ac:dyDescent="0.25">
      <c r="A135" s="2">
        <v>311</v>
      </c>
      <c r="B135" s="2" t="str">
        <f>_xlfn.XLOOKUP(Ativas_EMP_Manual_tabela[[#This Row],[ID]],Ativas_EMP_tabela[ID],Ativas_EMP_tabela[Razão social],"")</f>
        <v>VIVAZ</v>
      </c>
      <c r="C135" s="2" t="s">
        <v>5</v>
      </c>
    </row>
    <row r="136" spans="1:3" x14ac:dyDescent="0.25">
      <c r="A136" s="2">
        <v>312</v>
      </c>
      <c r="B136" s="2" t="str">
        <f>_xlfn.XLOOKUP(Ativas_EMP_Manual_tabela[[#This Row],[ID]],Ativas_EMP_tabela[ID],Ativas_EMP_tabela[Razão social],"")</f>
        <v>VERTEX</v>
      </c>
      <c r="C136" s="2" t="s">
        <v>5</v>
      </c>
    </row>
    <row r="137" spans="1:3" x14ac:dyDescent="0.25">
      <c r="A137" s="2">
        <v>400</v>
      </c>
      <c r="B137" s="2" t="str">
        <f>_xlfn.XLOOKUP(Ativas_EMP_Manual_tabela[[#This Row],[ID]],Ativas_EMP_tabela[ID],Ativas_EMP_tabela[Razão social],"")</f>
        <v/>
      </c>
      <c r="C137" s="2" t="s">
        <v>335</v>
      </c>
    </row>
    <row r="138" spans="1:3" x14ac:dyDescent="0.25">
      <c r="A138" s="2">
        <v>430</v>
      </c>
      <c r="B138" s="2" t="str">
        <f>_xlfn.XLOOKUP(Ativas_EMP_Manual_tabela[[#This Row],[ID]],Ativas_EMP_tabela[ID],Ativas_EMP_tabela[Razão social],"")</f>
        <v>VITA</v>
      </c>
      <c r="C138" s="2" t="s">
        <v>5</v>
      </c>
    </row>
    <row r="139" spans="1:3" x14ac:dyDescent="0.25">
      <c r="A139" s="2">
        <v>431</v>
      </c>
      <c r="B139" s="2" t="str">
        <f>_xlfn.XLOOKUP(Ativas_EMP_Manual_tabela[[#This Row],[ID]],Ativas_EMP_tabela[ID],Ativas_EMP_tabela[Razão social],"")</f>
        <v>EDV</v>
      </c>
      <c r="C139" s="2" t="s">
        <v>5</v>
      </c>
    </row>
    <row r="140" spans="1:3" x14ac:dyDescent="0.25">
      <c r="A140" s="2">
        <v>432</v>
      </c>
      <c r="B140" s="2" t="str">
        <f>_xlfn.XLOOKUP(Ativas_EMP_Manual_tabela[[#This Row],[ID]],Ativas_EMP_tabela[ID],Ativas_EMP_tabela[Razão social],"")</f>
        <v>GRB</v>
      </c>
      <c r="C140" s="2" t="s">
        <v>5</v>
      </c>
    </row>
    <row r="141" spans="1:3" x14ac:dyDescent="0.25">
      <c r="A141" s="2">
        <v>433</v>
      </c>
      <c r="B141" s="2" t="str">
        <f>_xlfn.XLOOKUP(Ativas_EMP_Manual_tabela[[#This Row],[ID]],Ativas_EMP_tabela[ID],Ativas_EMP_tabela[Razão social],"")</f>
        <v>RC</v>
      </c>
      <c r="C141" s="2" t="s">
        <v>5</v>
      </c>
    </row>
    <row r="142" spans="1:3" x14ac:dyDescent="0.25">
      <c r="A142" s="2">
        <v>434</v>
      </c>
      <c r="B142" s="2" t="str">
        <f>_xlfn.XLOOKUP(Ativas_EMP_Manual_tabela[[#This Row],[ID]],Ativas_EMP_tabela[ID],Ativas_EMP_tabela[Razão social],"")</f>
        <v>ABOA</v>
      </c>
      <c r="C142" s="2" t="s">
        <v>5</v>
      </c>
    </row>
    <row r="143" spans="1:3" x14ac:dyDescent="0.25">
      <c r="A143" s="2">
        <v>435</v>
      </c>
      <c r="B143" s="2" t="str">
        <f>_xlfn.XLOOKUP(Ativas_EMP_Manual_tabela[[#This Row],[ID]],Ativas_EMP_tabela[ID],Ativas_EMP_tabela[Razão social],"")</f>
        <v>REAL</v>
      </c>
      <c r="C143" s="2" t="s">
        <v>5</v>
      </c>
    </row>
    <row r="144" spans="1:3" x14ac:dyDescent="0.25">
      <c r="A144" s="2">
        <v>436</v>
      </c>
      <c r="B144" s="2" t="str">
        <f>_xlfn.XLOOKUP(Ativas_EMP_Manual_tabela[[#This Row],[ID]],Ativas_EMP_tabela[ID],Ativas_EMP_tabela[Razão social],"")</f>
        <v>ATLAS</v>
      </c>
      <c r="C144" s="2" t="s">
        <v>5</v>
      </c>
    </row>
    <row r="145" spans="1:3" x14ac:dyDescent="0.25">
      <c r="A145" s="2">
        <v>437</v>
      </c>
      <c r="B145" s="2" t="str">
        <f>_xlfn.XLOOKUP(Ativas_EMP_Manual_tabela[[#This Row],[ID]],Ativas_EMP_tabela[ID],Ativas_EMP_tabela[Razão social],"")</f>
        <v>ABDALLA</v>
      </c>
      <c r="C145" s="2" t="s">
        <v>5</v>
      </c>
    </row>
    <row r="146" spans="1:3" x14ac:dyDescent="0.25">
      <c r="A146" s="2">
        <v>438</v>
      </c>
      <c r="B146" s="2" t="str">
        <f>_xlfn.XLOOKUP(Ativas_EMP_Manual_tabela[[#This Row],[ID]],Ativas_EMP_tabela[ID],Ativas_EMP_tabela[Razão social],"")</f>
        <v>CANTINA</v>
      </c>
      <c r="C146" s="2" t="s">
        <v>5</v>
      </c>
    </row>
    <row r="147" spans="1:3" x14ac:dyDescent="0.25">
      <c r="A147" s="2">
        <v>439</v>
      </c>
      <c r="B147" s="2" t="str">
        <f>_xlfn.XLOOKUP(Ativas_EMP_Manual_tabela[[#This Row],[ID]],Ativas_EMP_tabela[ID],Ativas_EMP_tabela[Razão social],"")</f>
        <v>SABINO</v>
      </c>
      <c r="C147" s="2" t="s">
        <v>5</v>
      </c>
    </row>
    <row r="148" spans="1:3" x14ac:dyDescent="0.25">
      <c r="A148" s="2">
        <v>440</v>
      </c>
      <c r="B148" s="2" t="str">
        <f>_xlfn.XLOOKUP(Ativas_EMP_Manual_tabela[[#This Row],[ID]],Ativas_EMP_tabela[ID],Ativas_EMP_tabela[Razão social],"")</f>
        <v>ALKMIM</v>
      </c>
      <c r="C148" s="2" t="s">
        <v>5</v>
      </c>
    </row>
    <row r="149" spans="1:3" x14ac:dyDescent="0.25">
      <c r="A149" s="2">
        <v>441</v>
      </c>
      <c r="B149" s="2" t="str">
        <f>_xlfn.XLOOKUP(Ativas_EMP_Manual_tabela[[#This Row],[ID]],Ativas_EMP_tabela[ID],Ativas_EMP_tabela[Razão social],"")</f>
        <v>PRAESTO</v>
      </c>
      <c r="C149" s="2" t="s">
        <v>5</v>
      </c>
    </row>
    <row r="150" spans="1:3" x14ac:dyDescent="0.25">
      <c r="A150" s="2">
        <v>450</v>
      </c>
      <c r="B150" s="2" t="str">
        <f>_xlfn.XLOOKUP(Ativas_EMP_Manual_tabela[[#This Row],[ID]],Ativas_EMP_tabela[ID],Ativas_EMP_tabela[Razão social],"")</f>
        <v>RUBENS CPF-CEI</v>
      </c>
      <c r="C150" s="2" t="s">
        <v>5</v>
      </c>
    </row>
    <row r="151" spans="1:3" x14ac:dyDescent="0.25">
      <c r="A151" s="2">
        <v>451</v>
      </c>
      <c r="B151" s="2" t="str">
        <f>_xlfn.XLOOKUP(Ativas_EMP_Manual_tabela[[#This Row],[ID]],Ativas_EMP_tabela[ID],Ativas_EMP_tabela[Razão social],"")</f>
        <v>RGWR</v>
      </c>
      <c r="C151" s="2" t="s">
        <v>5</v>
      </c>
    </row>
    <row r="152" spans="1:3" x14ac:dyDescent="0.25">
      <c r="A152" s="2">
        <v>452</v>
      </c>
      <c r="B152" s="2" t="str">
        <f>_xlfn.XLOOKUP(Ativas_EMP_Manual_tabela[[#This Row],[ID]],Ativas_EMP_tabela[ID],Ativas_EMP_tabela[Razão social],"")</f>
        <v>WR PART</v>
      </c>
      <c r="C152" s="2" t="s">
        <v>5</v>
      </c>
    </row>
    <row r="153" spans="1:3" x14ac:dyDescent="0.25">
      <c r="A153" s="2">
        <v>453</v>
      </c>
      <c r="B153" s="2" t="str">
        <f>_xlfn.XLOOKUP(Ativas_EMP_Manual_tabela[[#This Row],[ID]],Ativas_EMP_tabela[ID],Ativas_EMP_tabela[Razão social],"")</f>
        <v>RGWR - FL 01</v>
      </c>
      <c r="C153" s="2" t="s">
        <v>5</v>
      </c>
    </row>
    <row r="154" spans="1:3" x14ac:dyDescent="0.25">
      <c r="A154" s="2">
        <v>454</v>
      </c>
      <c r="B154" s="2" t="str">
        <f>_xlfn.XLOOKUP(Ativas_EMP_Manual_tabela[[#This Row],[ID]],Ativas_EMP_tabela[ID],Ativas_EMP_tabela[Razão social],"")</f>
        <v>RGWR - FL 02</v>
      </c>
      <c r="C154" s="2" t="s">
        <v>5</v>
      </c>
    </row>
    <row r="155" spans="1:3" x14ac:dyDescent="0.25">
      <c r="A155" s="2">
        <v>455</v>
      </c>
      <c r="B155" s="2" t="str">
        <f>_xlfn.XLOOKUP(Ativas_EMP_Manual_tabela[[#This Row],[ID]],Ativas_EMP_tabela[ID],Ativas_EMP_tabela[Razão social],"")</f>
        <v>RRG</v>
      </c>
      <c r="C155" s="2" t="s">
        <v>5</v>
      </c>
    </row>
    <row r="156" spans="1:3" x14ac:dyDescent="0.25">
      <c r="A156" s="2">
        <v>456</v>
      </c>
      <c r="B156" s="2" t="str">
        <f>_xlfn.XLOOKUP(Ativas_EMP_Manual_tabela[[#This Row],[ID]],Ativas_EMP_tabela[ID],Ativas_EMP_tabela[Razão social],"")</f>
        <v>SARF</v>
      </c>
      <c r="C156" s="2" t="s">
        <v>5</v>
      </c>
    </row>
    <row r="157" spans="1:3" x14ac:dyDescent="0.25">
      <c r="A157" s="2">
        <v>457</v>
      </c>
      <c r="B157" s="2" t="str">
        <f>_xlfn.XLOOKUP(Ativas_EMP_Manual_tabela[[#This Row],[ID]],Ativas_EMP_tabela[ID],Ativas_EMP_tabela[Razão social],"")</f>
        <v>LIVRARIA WRJ</v>
      </c>
      <c r="C157" s="2" t="s">
        <v>5</v>
      </c>
    </row>
    <row r="158" spans="1:3" x14ac:dyDescent="0.25">
      <c r="A158" s="2">
        <v>458</v>
      </c>
      <c r="B158" s="2" t="str">
        <f>_xlfn.XLOOKUP(Ativas_EMP_Manual_tabela[[#This Row],[ID]],Ativas_EMP_tabela[ID],Ativas_EMP_tabela[Razão social],"")</f>
        <v>COLEGIO WR</v>
      </c>
      <c r="C158" s="2" t="s">
        <v>5</v>
      </c>
    </row>
    <row r="159" spans="1:3" x14ac:dyDescent="0.25">
      <c r="A159" s="2">
        <v>459</v>
      </c>
      <c r="B159" s="2" t="str">
        <f>_xlfn.XLOOKUP(Ativas_EMP_Manual_tabela[[#This Row],[ID]],Ativas_EMP_tabela[ID],Ativas_EMP_tabela[Razão social],"")</f>
        <v>ENFOCA</v>
      </c>
      <c r="C159" s="2" t="s">
        <v>5</v>
      </c>
    </row>
    <row r="160" spans="1:3" x14ac:dyDescent="0.25">
      <c r="A160" s="2">
        <v>460</v>
      </c>
      <c r="B160" s="2" t="str">
        <f>_xlfn.XLOOKUP(Ativas_EMP_Manual_tabela[[#This Row],[ID]],Ativas_EMP_tabela[ID],Ativas_EMP_tabela[Razão social],"")</f>
        <v>LIVRARIA WR</v>
      </c>
      <c r="C160" s="2" t="s">
        <v>5</v>
      </c>
    </row>
    <row r="161" spans="1:3" x14ac:dyDescent="0.25">
      <c r="A161" s="2">
        <v>461</v>
      </c>
      <c r="B161" s="2" t="str">
        <f>_xlfn.XLOOKUP(Ativas_EMP_Manual_tabela[[#This Row],[ID]],Ativas_EMP_tabela[ID],Ativas_EMP_tabela[Razão social],"")</f>
        <v>MACHI</v>
      </c>
      <c r="C161" s="2" t="s">
        <v>5</v>
      </c>
    </row>
    <row r="162" spans="1:3" x14ac:dyDescent="0.25">
      <c r="A162" s="2">
        <v>462</v>
      </c>
      <c r="B162" s="2" t="str">
        <f>_xlfn.XLOOKUP(Ativas_EMP_Manual_tabela[[#This Row],[ID]],Ativas_EMP_tabela[ID],Ativas_EMP_tabela[Razão social],"")</f>
        <v>SAG</v>
      </c>
      <c r="C162" s="2" t="s">
        <v>5</v>
      </c>
    </row>
    <row r="163" spans="1:3" x14ac:dyDescent="0.25">
      <c r="A163" s="2">
        <v>463</v>
      </c>
      <c r="B163" s="2" t="str">
        <f>_xlfn.XLOOKUP(Ativas_EMP_Manual_tabela[[#This Row],[ID]],Ativas_EMP_tabela[ID],Ativas_EMP_tabela[Razão social],"")</f>
        <v>WRJ</v>
      </c>
      <c r="C163" s="2" t="s">
        <v>5</v>
      </c>
    </row>
    <row r="164" spans="1:3" x14ac:dyDescent="0.25">
      <c r="A164" s="2">
        <v>464</v>
      </c>
      <c r="B164" s="2" t="str">
        <f>_xlfn.XLOOKUP(Ativas_EMP_Manual_tabela[[#This Row],[ID]],Ativas_EMP_tabela[ID],Ativas_EMP_tabela[Razão social],"")</f>
        <v>CASA</v>
      </c>
      <c r="C164" s="2" t="s">
        <v>5</v>
      </c>
    </row>
    <row r="165" spans="1:3" x14ac:dyDescent="0.25">
      <c r="A165" s="2">
        <v>500</v>
      </c>
      <c r="B165" s="2" t="str">
        <f>_xlfn.XLOOKUP(Ativas_EMP_Manual_tabela[[#This Row],[ID]],Ativas_EMP_tabela[ID],Ativas_EMP_tabela[Razão social],"")</f>
        <v>ALDA</v>
      </c>
      <c r="C165" s="2" t="s">
        <v>5</v>
      </c>
    </row>
    <row r="166" spans="1:3" x14ac:dyDescent="0.25">
      <c r="A166" s="2">
        <v>501</v>
      </c>
      <c r="B166" s="2" t="str">
        <f>_xlfn.XLOOKUP(Ativas_EMP_Manual_tabela[[#This Row],[ID]],Ativas_EMP_tabela[ID],Ativas_EMP_tabela[Razão social],"")</f>
        <v>EBLUX</v>
      </c>
      <c r="C166" s="2" t="s">
        <v>5</v>
      </c>
    </row>
    <row r="167" spans="1:3" x14ac:dyDescent="0.25">
      <c r="A167" s="2">
        <v>502</v>
      </c>
      <c r="B167" s="2" t="str">
        <f>_xlfn.XLOOKUP(Ativas_EMP_Manual_tabela[[#This Row],[ID]],Ativas_EMP_tabela[ID],Ativas_EMP_tabela[Razão social],"")</f>
        <v>ALCS</v>
      </c>
      <c r="C167" s="2" t="s">
        <v>5</v>
      </c>
    </row>
    <row r="168" spans="1:3" x14ac:dyDescent="0.25">
      <c r="A168" s="2">
        <v>503</v>
      </c>
      <c r="B168" s="2" t="str">
        <f>_xlfn.XLOOKUP(Ativas_EMP_Manual_tabela[[#This Row],[ID]],Ativas_EMP_tabela[ID],Ativas_EMP_tabela[Razão social],"")</f>
        <v>RENOVA</v>
      </c>
      <c r="C168" s="2" t="s">
        <v>5</v>
      </c>
    </row>
    <row r="169" spans="1:3" x14ac:dyDescent="0.25">
      <c r="A169" s="2">
        <v>510</v>
      </c>
      <c r="B169" s="2" t="str">
        <f>_xlfn.XLOOKUP(Ativas_EMP_Manual_tabela[[#This Row],[ID]],Ativas_EMP_tabela[ID],Ativas_EMP_tabela[Razão social],"")</f>
        <v>CASA CARLOS</v>
      </c>
      <c r="C169" s="2" t="s">
        <v>5</v>
      </c>
    </row>
    <row r="170" spans="1:3" x14ac:dyDescent="0.25">
      <c r="A170" s="2">
        <v>600</v>
      </c>
      <c r="B170" s="2" t="str">
        <f>_xlfn.XLOOKUP(Ativas_EMP_Manual_tabela[[#This Row],[ID]],Ativas_EMP_tabela[ID],Ativas_EMP_tabela[Razão social],"")</f>
        <v>WJ</v>
      </c>
      <c r="C170" s="2" t="s">
        <v>335</v>
      </c>
    </row>
    <row r="171" spans="1:3" x14ac:dyDescent="0.25">
      <c r="A171" s="2">
        <v>950</v>
      </c>
      <c r="B171" s="2" t="str">
        <f>_xlfn.XLOOKUP(Ativas_EMP_Manual_tabela[[#This Row],[ID]],Ativas_EMP_tabela[ID],Ativas_EMP_tabela[Razão social],"")</f>
        <v/>
      </c>
      <c r="C171" s="2" t="s">
        <v>335</v>
      </c>
    </row>
    <row r="172" spans="1:3" x14ac:dyDescent="0.25">
      <c r="A172" s="2">
        <v>987</v>
      </c>
      <c r="B172" s="2" t="str">
        <f>_xlfn.XLOOKUP(Ativas_EMP_Manual_tabela[[#This Row],[ID]],Ativas_EMP_tabela[ID],Ativas_EMP_tabela[Razão social],"")</f>
        <v>SGECONT</v>
      </c>
      <c r="C172" s="2" t="s">
        <v>5</v>
      </c>
    </row>
    <row r="173" spans="1:3" x14ac:dyDescent="0.25">
      <c r="A173" s="2">
        <v>997</v>
      </c>
      <c r="B173" s="2" t="str">
        <f>_xlfn.XLOOKUP(Ativas_EMP_Manual_tabela[[#This Row],[ID]],Ativas_EMP_tabela[ID],Ativas_EMP_tabela[Razão social],"")</f>
        <v>AH</v>
      </c>
      <c r="C173" s="2" t="s">
        <v>5</v>
      </c>
    </row>
    <row r="174" spans="1:3" x14ac:dyDescent="0.25">
      <c r="A174" s="2">
        <v>998</v>
      </c>
      <c r="B174" s="2" t="str">
        <f>_xlfn.XLOOKUP(Ativas_EMP_Manual_tabela[[#This Row],[ID]],Ativas_EMP_tabela[ID],Ativas_EMP_tabela[Razão social],"")</f>
        <v>SGE</v>
      </c>
      <c r="C174" s="2" t="s">
        <v>5</v>
      </c>
    </row>
    <row r="175" spans="1:3" x14ac:dyDescent="0.25">
      <c r="A175" s="2">
        <v>1000</v>
      </c>
      <c r="B175" s="2" t="str">
        <f>_xlfn.XLOOKUP(Ativas_EMP_Manual_tabela[[#This Row],[ID]],Ativas_EMP_tabela[ID],Ativas_EMP_tabela[Razão social],"")</f>
        <v>HSERVICE</v>
      </c>
      <c r="C175" s="2" t="s">
        <v>5</v>
      </c>
    </row>
    <row r="176" spans="1:3" x14ac:dyDescent="0.25">
      <c r="A176" s="2">
        <v>10001</v>
      </c>
      <c r="B176" s="2" t="str">
        <f>_xlfn.XLOOKUP(Ativas_EMP_Manual_tabela[[#This Row],[ID]],Ativas_EMP_tabela[ID],Ativas_EMP_tabela[Razão social],"")</f>
        <v>MEI FÁTIMA</v>
      </c>
      <c r="C176" s="2" t="s">
        <v>335</v>
      </c>
    </row>
    <row r="177" spans="1:3" x14ac:dyDescent="0.25">
      <c r="A177" s="2">
        <v>447</v>
      </c>
      <c r="B177" s="2" t="str">
        <f>_xlfn.XLOOKUP(Ativas_EMP_Manual_tabela[[#This Row],[ID]],Ativas_EMP_tabela[ID],Ativas_EMP_tabela[Razão social],"")</f>
        <v>CERQUEIRA</v>
      </c>
      <c r="C177" s="2" t="s">
        <v>5</v>
      </c>
    </row>
    <row r="178" spans="1:3" x14ac:dyDescent="0.25">
      <c r="A178" s="2">
        <v>313</v>
      </c>
      <c r="B178" s="2" t="str">
        <f>_xlfn.XLOOKUP(Ativas_EMP_Manual_tabela[[#This Row],[ID]],Ativas_EMP_tabela[ID],Ativas_EMP_tabela[Razão social],"")</f>
        <v>FORTIFY</v>
      </c>
      <c r="C178" s="2" t="s">
        <v>5</v>
      </c>
    </row>
    <row r="179" spans="1:3" x14ac:dyDescent="0.25">
      <c r="A179" s="2">
        <v>316</v>
      </c>
      <c r="B179" s="2" t="str">
        <f>_xlfn.XLOOKUP(Ativas_EMP_Manual_tabela[[#This Row],[ID]],Ativas_EMP_tabela[ID],Ativas_EMP_tabela[Razão social],"")</f>
        <v>GM</v>
      </c>
      <c r="C179" s="2" t="s">
        <v>5</v>
      </c>
    </row>
    <row r="180" spans="1:3" x14ac:dyDescent="0.25">
      <c r="A180" s="2">
        <v>448</v>
      </c>
      <c r="B180" s="2" t="str">
        <f>_xlfn.XLOOKUP(Ativas_EMP_Manual_tabela[[#This Row],[ID]],Ativas_EMP_tabela[ID],Ativas_EMP_tabela[Razão social],"")</f>
        <v>IMG</v>
      </c>
      <c r="C180" s="2" t="s">
        <v>5</v>
      </c>
    </row>
    <row r="181" spans="1:3" x14ac:dyDescent="0.25">
      <c r="A181" s="2">
        <v>315</v>
      </c>
      <c r="B181" s="2" t="str">
        <f>_xlfn.XLOOKUP(Ativas_EMP_Manual_tabela[[#This Row],[ID]],Ativas_EMP_tabela[ID],Ativas_EMP_tabela[Razão social],"")</f>
        <v>LEGACY</v>
      </c>
      <c r="C181" s="2" t="s">
        <v>5</v>
      </c>
    </row>
    <row r="182" spans="1:3" x14ac:dyDescent="0.25">
      <c r="A182" s="2">
        <v>442</v>
      </c>
      <c r="B182" s="2" t="str">
        <f>_xlfn.XLOOKUP(Ativas_EMP_Manual_tabela[[#This Row],[ID]],Ativas_EMP_tabela[ID],Ativas_EMP_tabela[Razão social],"")</f>
        <v>LEGADO21</v>
      </c>
      <c r="C182" s="2" t="s">
        <v>5</v>
      </c>
    </row>
    <row r="183" spans="1:3" x14ac:dyDescent="0.25">
      <c r="A183" s="2">
        <v>449</v>
      </c>
      <c r="B183" s="2" t="str">
        <f>_xlfn.XLOOKUP(Ativas_EMP_Manual_tabela[[#This Row],[ID]],Ativas_EMP_tabela[ID],Ativas_EMP_tabela[Razão social],"")</f>
        <v>METRIKAL</v>
      </c>
      <c r="C183" s="2" t="s">
        <v>5</v>
      </c>
    </row>
    <row r="184" spans="1:3" x14ac:dyDescent="0.25">
      <c r="A184" s="2">
        <v>443</v>
      </c>
      <c r="B184" s="2" t="str">
        <f>_xlfn.XLOOKUP(Ativas_EMP_Manual_tabela[[#This Row],[ID]],Ativas_EMP_tabela[ID],Ativas_EMP_tabela[Razão social],"")</f>
        <v>MMKT</v>
      </c>
      <c r="C184" s="2" t="s">
        <v>5</v>
      </c>
    </row>
    <row r="185" spans="1:3" x14ac:dyDescent="0.25">
      <c r="A185" s="2">
        <v>445</v>
      </c>
      <c r="B185" s="2" t="str">
        <f>_xlfn.XLOOKUP(Ativas_EMP_Manual_tabela[[#This Row],[ID]],Ativas_EMP_tabela[ID],Ativas_EMP_tabela[Razão social],"")</f>
        <v>PATO</v>
      </c>
      <c r="C185" s="2" t="s">
        <v>5</v>
      </c>
    </row>
    <row r="186" spans="1:3" x14ac:dyDescent="0.25">
      <c r="A186" s="2">
        <v>317</v>
      </c>
      <c r="B186" s="2" t="str">
        <f>_xlfn.XLOOKUP(Ativas_EMP_Manual_tabela[[#This Row],[ID]],Ativas_EMP_tabela[ID],Ativas_EMP_tabela[Razão social],"")</f>
        <v>RHIZA</v>
      </c>
      <c r="C186" s="2" t="s">
        <v>5</v>
      </c>
    </row>
    <row r="187" spans="1:3" x14ac:dyDescent="0.25">
      <c r="A187" s="2">
        <v>314</v>
      </c>
      <c r="B187" s="2" t="str">
        <f>_xlfn.XLOOKUP(Ativas_EMP_Manual_tabela[[#This Row],[ID]],Ativas_EMP_tabela[ID],Ativas_EMP_tabela[Razão social],"")</f>
        <v>SOUZA</v>
      </c>
      <c r="C187" s="2" t="s">
        <v>5</v>
      </c>
    </row>
    <row r="188" spans="1:3" x14ac:dyDescent="0.25">
      <c r="A188" s="2">
        <v>444</v>
      </c>
      <c r="B188" s="2" t="str">
        <f>_xlfn.XLOOKUP(Ativas_EMP_Manual_tabela[[#This Row],[ID]],Ativas_EMP_tabela[ID],Ativas_EMP_tabela[Razão social],"")</f>
        <v>TERA</v>
      </c>
      <c r="C188" s="2" t="s">
        <v>5</v>
      </c>
    </row>
    <row r="189" spans="1:3" x14ac:dyDescent="0.25">
      <c r="A189" s="2">
        <v>446</v>
      </c>
      <c r="B189" s="2" t="str">
        <f>_xlfn.XLOOKUP(Ativas_EMP_Manual_tabela[[#This Row],[ID]],Ativas_EMP_tabela[ID],Ativas_EMP_tabela[Razão social],"")</f>
        <v>UP380</v>
      </c>
      <c r="C189" s="2" t="s">
        <v>5</v>
      </c>
    </row>
    <row r="190" spans="1:3" x14ac:dyDescent="0.25">
      <c r="A190" s="2">
        <v>429</v>
      </c>
      <c r="B190" s="2" t="str">
        <f>_xlfn.XLOOKUP(Ativas_EMP_Manual_tabela[[#This Row],[ID]],Ativas_EMP_tabela[ID],Ativas_EMP_tabela[Razão social],"")</f>
        <v>CCDE</v>
      </c>
      <c r="C190" s="2" t="s">
        <v>5</v>
      </c>
    </row>
    <row r="191" spans="1:3" x14ac:dyDescent="0.25">
      <c r="A191" s="2">
        <v>428</v>
      </c>
      <c r="B191" s="2" t="str">
        <f>_xlfn.XLOOKUP(Ativas_EMP_Manual_tabela[[#This Row],[ID]],Ativas_EMP_tabela[ID],Ativas_EMP_tabela[Razão social],"")</f>
        <v>ACAO</v>
      </c>
      <c r="C191" s="2" t="s">
        <v>5</v>
      </c>
    </row>
    <row r="192" spans="1:3" x14ac:dyDescent="0.25">
      <c r="A192" s="2">
        <v>318</v>
      </c>
      <c r="B192" s="2" t="str">
        <f>_xlfn.XLOOKUP(Ativas_EMP_Manual_tabela[[#This Row],[ID]],Ativas_EMP_tabela[ID],Ativas_EMP_tabela[Razão social],"")</f>
        <v>KUSTER</v>
      </c>
      <c r="C192" s="2" t="s">
        <v>5</v>
      </c>
    </row>
    <row r="193" spans="1:3" x14ac:dyDescent="0.25">
      <c r="A193" s="2">
        <v>319</v>
      </c>
      <c r="B193" s="2" t="str">
        <f>_xlfn.XLOOKUP(Ativas_EMP_Manual_tabela[[#This Row],[ID]],Ativas_EMP_tabela[ID],Ativas_EMP_tabela[Razão social],"")</f>
        <v>PIRES</v>
      </c>
      <c r="C193" s="2" t="s">
        <v>5</v>
      </c>
    </row>
  </sheetData>
  <dataValidations count="1">
    <dataValidation type="list" allowBlank="1" showInputMessage="1" showErrorMessage="1" sqref="C2:C193" xr:uid="{F49BE20B-2296-4640-83AC-3A4032BA0655}">
      <formula1>"Ativa,Inativa"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3D02E4-1170-487B-A91D-E7321037B1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Ref</vt:lpstr>
      <vt:lpstr>EmpAtivas</vt:lpstr>
      <vt:lpstr>EmpInativasManual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SGEMAQ - 20</dc:creator>
  <cp:lastModifiedBy>JOAO HENRIQUE DE PAULA MELER MANJABOSCO</cp:lastModifiedBy>
  <dcterms:created xsi:type="dcterms:W3CDTF">2015-06-05T18:19:34Z</dcterms:created>
  <dcterms:modified xsi:type="dcterms:W3CDTF">2026-06-19T15:36:46Z</dcterms:modified>
</cp:coreProperties>
</file>